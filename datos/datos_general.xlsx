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matiasarancibia/Desktop/ANTIMO/datos/"/>
    </mc:Choice>
  </mc:AlternateContent>
  <xr:revisionPtr revIDLastSave="0" documentId="13_ncr:1_{957B7437-119F-8E46-9AB7-E6E825B450AA}" xr6:coauthVersionLast="47" xr6:coauthVersionMax="47" xr10:uidLastSave="{00000000-0000-0000-0000-000000000000}"/>
  <bookViews>
    <workbookView xWindow="0" yWindow="780" windowWidth="34200" windowHeight="20140" tabRatio="500" activeTab="6" xr2:uid="{00000000-000D-0000-FFFF-FFFF00000000}"/>
  </bookViews>
  <sheets>
    <sheet name="Maestro_Productos" sheetId="1" r:id="rId1"/>
    <sheet name="Costo items" sheetId="7" r:id="rId2"/>
    <sheet name="Costo_Base" sheetId="2" r:id="rId3"/>
    <sheet name="Equivalencias_Unidades" sheetId="3" r:id="rId4"/>
    <sheet name="Lista de Precios" sheetId="4" r:id="rId5"/>
    <sheet name="Recetas Bebidas" sheetId="5" r:id="rId6"/>
    <sheet name="Recetas Comida" sheetId="6" r:id="rId7"/>
    <sheet name="Costos FIJOS (OPEX)" sheetId="8" r:id="rId8"/>
  </sheets>
  <definedNames>
    <definedName name="_xlnm._FilterDatabase" localSheetId="1" hidden="1">'Costo items'!$A$1:$D$1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7" i="2" l="1"/>
  <c r="G3" i="2"/>
  <c r="F33" i="8"/>
  <c r="F32" i="8"/>
  <c r="F31" i="8"/>
  <c r="F30" i="8"/>
  <c r="F29" i="8"/>
  <c r="F28" i="8"/>
  <c r="F27" i="8"/>
  <c r="D19" i="8"/>
  <c r="F19" i="8" s="1"/>
  <c r="F34" i="8" s="1"/>
  <c r="F18" i="8"/>
  <c r="F17" i="8"/>
  <c r="F16" i="8"/>
  <c r="F15" i="8"/>
  <c r="F14" i="8"/>
  <c r="F13" i="8"/>
  <c r="F12" i="8"/>
  <c r="F10" i="8"/>
  <c r="F9" i="8"/>
  <c r="F8" i="8"/>
  <c r="F5" i="8"/>
  <c r="F2" i="8"/>
  <c r="B123" i="7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2" i="2"/>
</calcChain>
</file>

<file path=xl/sharedStrings.xml><?xml version="1.0" encoding="utf-8"?>
<sst xmlns="http://schemas.openxmlformats.org/spreadsheetml/2006/main" count="2252" uniqueCount="775">
  <si>
    <t>Nombre POS (como figura en ventas)</t>
  </si>
  <si>
    <t>Categoría</t>
  </si>
  <si>
    <t>Producto canónico</t>
  </si>
  <si>
    <t>Tipo de venta</t>
  </si>
  <si>
    <t>Factor</t>
  </si>
  <si>
    <t>Rendimiento (ml)</t>
  </si>
  <si>
    <t>Costeo desde</t>
  </si>
  <si>
    <t>Nota / A confirmar</t>
  </si>
  <si>
    <t>2 x 1  FERNET</t>
  </si>
  <si>
    <t>BEBIDAS CON ALCOHOL</t>
  </si>
  <si>
    <t>2x1 Fernet</t>
  </si>
  <si>
    <t>promo_2x1</t>
  </si>
  <si>
    <t>Receta: FERNET</t>
  </si>
  <si>
    <t>2 x 1  GIN TONIC</t>
  </si>
  <si>
    <t>2x1 Gin Tonic</t>
  </si>
  <si>
    <t>Receta: GIN TONIC</t>
  </si>
  <si>
    <t>2 x 1.  APEROL</t>
  </si>
  <si>
    <t>2x1 Aperol</t>
  </si>
  <si>
    <t>Receta: APEROL SPRITZ</t>
  </si>
  <si>
    <t>CONFIRMAR si el 2x1 es Spritz o Aperol solo</t>
  </si>
  <si>
    <t>2 x 1. VODKA</t>
  </si>
  <si>
    <t>2x1 Vodka</t>
  </si>
  <si>
    <t>Receta: SMIRNOFF + SPEED</t>
  </si>
  <si>
    <t>CONFIRMAR trago base del 2x1 vodka</t>
  </si>
  <si>
    <t>FERNET</t>
  </si>
  <si>
    <t>Fernet</t>
  </si>
  <si>
    <t>receta</t>
  </si>
  <si>
    <t>DAIKIRI</t>
  </si>
  <si>
    <t>Daikiri</t>
  </si>
  <si>
    <t>Receta: DAIKIRI</t>
  </si>
  <si>
    <t>MOJITO CLASICO</t>
  </si>
  <si>
    <t>Mojito Clásico</t>
  </si>
  <si>
    <t>Receta: MOJITO CLASICO</t>
  </si>
  <si>
    <t>MOJITO MALIBU</t>
  </si>
  <si>
    <t>Mojito Malibú</t>
  </si>
  <si>
    <t>Receta: MOJITO MALIBU</t>
  </si>
  <si>
    <t>PENICILINE</t>
  </si>
  <si>
    <t>Penicilin</t>
  </si>
  <si>
    <t>Receta: PENICILINE</t>
  </si>
  <si>
    <t>BULLDOG MEXICANO</t>
  </si>
  <si>
    <t>Bulldog Mexicano</t>
  </si>
  <si>
    <t>Receta: BULLDOG MEXICANO</t>
  </si>
  <si>
    <t>APEROL SPRITZ</t>
  </si>
  <si>
    <t>Aperol Spritz</t>
  </si>
  <si>
    <t>MOSCOW MULE</t>
  </si>
  <si>
    <t>Moscow Mule</t>
  </si>
  <si>
    <t>Receta: MOSCOW MULE</t>
  </si>
  <si>
    <t>BAILEYS</t>
  </si>
  <si>
    <t>Baileys</t>
  </si>
  <si>
    <t>Receta: BAILEYS</t>
  </si>
  <si>
    <t>NEGRONI</t>
  </si>
  <si>
    <t>Negroni</t>
  </si>
  <si>
    <t>Receta: NEGRONI</t>
  </si>
  <si>
    <t>CAMPARI</t>
  </si>
  <si>
    <t>Campari</t>
  </si>
  <si>
    <t>Receta: CAMPARI</t>
  </si>
  <si>
    <t>Smirnoff + Speed</t>
  </si>
  <si>
    <t>Absolut + Speed</t>
  </si>
  <si>
    <t>Receta: ABSOLUT + SPEED / RED BULL</t>
  </si>
  <si>
    <t>Absolut + Red Bull</t>
  </si>
  <si>
    <t>SMIRNOFF MANZANA+SPEED</t>
  </si>
  <si>
    <t>1 MODO BOLICHE</t>
  </si>
  <si>
    <t>Smirnoff Manzana + Speed</t>
  </si>
  <si>
    <t>Variante de sabor</t>
  </si>
  <si>
    <t>SMIRNOFF MARACUYA+SPEED</t>
  </si>
  <si>
    <t>Smirnoff Maracuyá + Speed</t>
  </si>
  <si>
    <t>BOMBAY + TONICA</t>
  </si>
  <si>
    <t>Bombay + Tónica</t>
  </si>
  <si>
    <t>BRIGHTON + TONICA</t>
  </si>
  <si>
    <t>Brighton + Tónica</t>
  </si>
  <si>
    <t>Usar Gin Brighton</t>
  </si>
  <si>
    <t>Gin Beefeater</t>
  </si>
  <si>
    <t>Gin Beefeater (vaso)</t>
  </si>
  <si>
    <t>pour</t>
  </si>
  <si>
    <t>Insumo: Gin Beefeater</t>
  </si>
  <si>
    <t>Gin Aconcagua</t>
  </si>
  <si>
    <t>Gin Aconcagua (vaso)</t>
  </si>
  <si>
    <t>Insumo: Gin Aconcagua</t>
  </si>
  <si>
    <t>Gin aconcagua vaso</t>
  </si>
  <si>
    <t>Duplicado POS de Gin Aconcagua</t>
  </si>
  <si>
    <t>APEROL PLASTICO</t>
  </si>
  <si>
    <t>Aperol (vaso)</t>
  </si>
  <si>
    <t>Insumo: Aperol</t>
  </si>
  <si>
    <t>BLACK LABEL</t>
  </si>
  <si>
    <t>Black Label (vaso)</t>
  </si>
  <si>
    <t>Insumo: Whisky Ballantines</t>
  </si>
  <si>
    <t>Costeado con Ballantines; falta precio real Black Label</t>
  </si>
  <si>
    <t>RED LABEL</t>
  </si>
  <si>
    <t>Red Label (vaso)</t>
  </si>
  <si>
    <t>Costeado con Ballantines; falta precio real Red Label</t>
  </si>
  <si>
    <t>SHOT DE WHISKY</t>
  </si>
  <si>
    <t>GENERICO</t>
  </si>
  <si>
    <t>Shot de Whisky</t>
  </si>
  <si>
    <t>JAGGER</t>
  </si>
  <si>
    <t>Jägger (vaso)</t>
  </si>
  <si>
    <t>Insumo: Jagger</t>
  </si>
  <si>
    <t>STELLA 1 L</t>
  </si>
  <si>
    <t>CERVEZAS</t>
  </si>
  <si>
    <t>Stella 1L</t>
  </si>
  <si>
    <t>botella</t>
  </si>
  <si>
    <t>Insumo: Cerveza Stella 1L</t>
  </si>
  <si>
    <t>Corona 330</t>
  </si>
  <si>
    <t>Insumo: Cerveza Corona (Porón/Poroncitó)</t>
  </si>
  <si>
    <t>CORONA 730</t>
  </si>
  <si>
    <t>Insumo: Cerveza Corona (proxy)</t>
  </si>
  <si>
    <t>PATAGONIA 730</t>
  </si>
  <si>
    <t>Patagonia 730</t>
  </si>
  <si>
    <t>Insumo: Cerveza Patagonia 730</t>
  </si>
  <si>
    <t>SMIRNOFF + 4 ENERGIZANTES</t>
  </si>
  <si>
    <t>Smirnoff + 4 Energizantes</t>
  </si>
  <si>
    <t>combo</t>
  </si>
  <si>
    <t>1 bot. Vodka Smirnoff + 4 Energizante</t>
  </si>
  <si>
    <t>Definir energizante (Speed/RedBull)</t>
  </si>
  <si>
    <t>ABSOLUT + 4 ENERGIZANTES</t>
  </si>
  <si>
    <t>Absolut + 4 Energizantes</t>
  </si>
  <si>
    <t>1 bot. Vodka Absolut + 4 Energizante</t>
  </si>
  <si>
    <t>Definir energizante</t>
  </si>
  <si>
    <t>BARON B + ENERGIZANTE</t>
  </si>
  <si>
    <t>Baron B + Energizante</t>
  </si>
  <si>
    <t>1 bot. Espumante Baron B + 1 Energizante</t>
  </si>
  <si>
    <t>Combo cumpleaños</t>
  </si>
  <si>
    <t>PROMOS</t>
  </si>
  <si>
    <t>Combo Cumpleaños</t>
  </si>
  <si>
    <t>Definir composición</t>
  </si>
  <si>
    <t>CONFIRMAR productos que incluye el combo</t>
  </si>
  <si>
    <t>COCA</t>
  </si>
  <si>
    <t>BEBIDAS SIN ALCHOHOL</t>
  </si>
  <si>
    <t>Coca 600cc</t>
  </si>
  <si>
    <t>directo</t>
  </si>
  <si>
    <t>Insumo: Coca Cola / Coca Zero 600cc</t>
  </si>
  <si>
    <t>Coca Zero</t>
  </si>
  <si>
    <t>Coca Zero 600cc</t>
  </si>
  <si>
    <t>SPRITE</t>
  </si>
  <si>
    <t>Sprite 600cc</t>
  </si>
  <si>
    <t>Insumo: Sprite 600cc</t>
  </si>
  <si>
    <t>AGUA NATURAL</t>
  </si>
  <si>
    <t>Agua Natural</t>
  </si>
  <si>
    <t>Insumo: Agua Con Gas / Sin Gas</t>
  </si>
  <si>
    <t>Costo por bidón 6,2L; confirmar ml por porción</t>
  </si>
  <si>
    <t>AGUA CON GAS</t>
  </si>
  <si>
    <t>Agua con Gas</t>
  </si>
  <si>
    <t>Confirmar ml por porción</t>
  </si>
  <si>
    <t>AGUA SABORIZADA</t>
  </si>
  <si>
    <t>Agua Saborizada</t>
  </si>
  <si>
    <t>Insumo: Agua Saborizada</t>
  </si>
  <si>
    <t>LIMONADA</t>
  </si>
  <si>
    <t>Limonada</t>
  </si>
  <si>
    <t>Insumo: Limonada base</t>
  </si>
  <si>
    <t>LIMONADA FRUTOS ROJOS</t>
  </si>
  <si>
    <t>Limonada Frutos Rojos</t>
  </si>
  <si>
    <t>VASO LIMONADA FRUTOS ROJOS</t>
  </si>
  <si>
    <t>Duplicado POS de Limonada FR</t>
  </si>
  <si>
    <t>VASO LIMONADA FR</t>
  </si>
  <si>
    <t>SPEED</t>
  </si>
  <si>
    <t>Energizante Speed</t>
  </si>
  <si>
    <t>Insumo: Energizante Speed</t>
  </si>
  <si>
    <t>REDBULL</t>
  </si>
  <si>
    <t>Energizante Red Bull</t>
  </si>
  <si>
    <t>Insumo: Energizante Red Bull</t>
  </si>
  <si>
    <t>TONICA</t>
  </si>
  <si>
    <t>Tónica</t>
  </si>
  <si>
    <t>Insumo: Agua Tónica</t>
  </si>
  <si>
    <t>BAGUETTE DE CARNE O POLLO</t>
  </si>
  <si>
    <t>HAMBURGUESAS Y SANDWICH</t>
  </si>
  <si>
    <t>Baguette de Carne o Pollo</t>
  </si>
  <si>
    <t>Receta: BAGUETTE DE CARNE O POLLO</t>
  </si>
  <si>
    <t>BUNKER</t>
  </si>
  <si>
    <t>Bunker</t>
  </si>
  <si>
    <t>Receta: BUNKER</t>
  </si>
  <si>
    <t>CUARTO DE LIBRA</t>
  </si>
  <si>
    <t>Cuarto de Libra</t>
  </si>
  <si>
    <t>Receta: CUARTO DE LIBRA</t>
  </si>
  <si>
    <t>FLAT MECHADO</t>
  </si>
  <si>
    <t>Flat Mechado</t>
  </si>
  <si>
    <t>Receta: FLAT MECHADO</t>
  </si>
  <si>
    <t>PARK</t>
  </si>
  <si>
    <t>Park</t>
  </si>
  <si>
    <t>Receta: PARK</t>
  </si>
  <si>
    <t>SANDWICH DE TAPA</t>
  </si>
  <si>
    <t>Sandwich de Tapa</t>
  </si>
  <si>
    <t>Receta: SANDWICH DE TAPA</t>
  </si>
  <si>
    <t>DEGUSTACION DE PAPAS</t>
  </si>
  <si>
    <t>PARA PICAR Y PAPAS</t>
  </si>
  <si>
    <t>Degustación de Papas</t>
  </si>
  <si>
    <t>Receta: DEGUSTACION DE PAPAS</t>
  </si>
  <si>
    <t>PAPAS 164</t>
  </si>
  <si>
    <t>Papas 164</t>
  </si>
  <si>
    <t>Receta: PAPAS 164</t>
  </si>
  <si>
    <t>PAPAS CHEDDAR</t>
  </si>
  <si>
    <t>Papas Cheddar</t>
  </si>
  <si>
    <t>Receta: PAPAS CHEDDAR</t>
  </si>
  <si>
    <t>PAPAS CLASICAS</t>
  </si>
  <si>
    <t>Papas Clásicas</t>
  </si>
  <si>
    <t>Receta: PAPAS CLASICAS</t>
  </si>
  <si>
    <t>PAPAS RAGU</t>
  </si>
  <si>
    <t>Papas Ragú</t>
  </si>
  <si>
    <t>Receta: PAPAS RAGU</t>
  </si>
  <si>
    <t>PICADA DORREGO</t>
  </si>
  <si>
    <t>Picada Dorrego</t>
  </si>
  <si>
    <t>Receta: PICADA DORREGO</t>
  </si>
  <si>
    <t>FUGAZZETA</t>
  </si>
  <si>
    <t>PIZZAS</t>
  </si>
  <si>
    <t>Fugazzeta</t>
  </si>
  <si>
    <t>Receta: FUGAZZETA</t>
  </si>
  <si>
    <t>JAMON Y MORRONES</t>
  </si>
  <si>
    <t>Jamón y Morrones</t>
  </si>
  <si>
    <t>Receta: JAMON Y MORRONES</t>
  </si>
  <si>
    <t>MARGARITA</t>
  </si>
  <si>
    <t>Margarita</t>
  </si>
  <si>
    <t>Receta: MARGARITA</t>
  </si>
  <si>
    <t>PIZZA COMUN</t>
  </si>
  <si>
    <t>Pizza Común</t>
  </si>
  <si>
    <t>Receta: PIZZA COMUN</t>
  </si>
  <si>
    <t>RUCULA Y JAMON CRUDO</t>
  </si>
  <si>
    <t>Rúcula y Jamón Crudo</t>
  </si>
  <si>
    <t>Receta: RUCULA Y JAMON CRUDO</t>
  </si>
  <si>
    <t>SANDWICH VEGGIE</t>
  </si>
  <si>
    <t>SIN TACC Y VEGGIE</t>
  </si>
  <si>
    <t>Sandwich Veggie</t>
  </si>
  <si>
    <t>Receta: SANDWICH VEGGIE</t>
  </si>
  <si>
    <t>RABAS</t>
  </si>
  <si>
    <t>Rabas</t>
  </si>
  <si>
    <t>sin_datos</t>
  </si>
  <si>
    <t>—</t>
  </si>
  <si>
    <t>Falta receta y costo de Rabas</t>
  </si>
  <si>
    <t>Ingrediente</t>
  </si>
  <si>
    <t>Precio ($)</t>
  </si>
  <si>
    <t>Presentación original</t>
  </si>
  <si>
    <t>Cantidad base</t>
  </si>
  <si>
    <t>Unidad base</t>
  </si>
  <si>
    <t>Costo x unidad base ($)</t>
  </si>
  <si>
    <t>Fecha actualización</t>
  </si>
  <si>
    <t>Nota</t>
  </si>
  <si>
    <t>Bebidas - Cervezas</t>
  </si>
  <si>
    <t>Cerveza Andes 1L</t>
  </si>
  <si>
    <t>1L</t>
  </si>
  <si>
    <t>ml</t>
  </si>
  <si>
    <t>09/07/2026</t>
  </si>
  <si>
    <t>330ml</t>
  </si>
  <si>
    <t>Cerveza Heineken (1L/Chica)</t>
  </si>
  <si>
    <t>Cerveza Patagonia 730</t>
  </si>
  <si>
    <t>730ml</t>
  </si>
  <si>
    <t>Cerveza Quilmes 1L</t>
  </si>
  <si>
    <t>Cerveza Stella 1L</t>
  </si>
  <si>
    <t>Bebidas - Destilados y Licores</t>
  </si>
  <si>
    <t>Aperol</t>
  </si>
  <si>
    <t>750ml</t>
  </si>
  <si>
    <t>Blue Curaçao</t>
  </si>
  <si>
    <t>700ml</t>
  </si>
  <si>
    <t>Cachaça</t>
  </si>
  <si>
    <t>710ml</t>
  </si>
  <si>
    <t>Cynar</t>
  </si>
  <si>
    <t>Fernet Branca</t>
  </si>
  <si>
    <t>Gin Brighton</t>
  </si>
  <si>
    <t>Gin Tanqueray</t>
  </si>
  <si>
    <t>Jagger</t>
  </si>
  <si>
    <t>Ron Blanco</t>
  </si>
  <si>
    <t>Ron Malibu</t>
  </si>
  <si>
    <t>Tequila</t>
  </si>
  <si>
    <t>Triple Sec</t>
  </si>
  <si>
    <t>Vermouth Rosso Cinzano</t>
  </si>
  <si>
    <t>Carpano 950ml</t>
  </si>
  <si>
    <t>Vermouth Rosso Carpano</t>
  </si>
  <si>
    <t>Vodka Smirnoff</t>
  </si>
  <si>
    <t>Smirnoff 700ml</t>
  </si>
  <si>
    <t>Vodka Absolut</t>
  </si>
  <si>
    <t>Vodka Sernova</t>
  </si>
  <si>
    <t>Whisky Ballantines</t>
  </si>
  <si>
    <t>Bebidas - Frutas y Zumos (Bar)</t>
  </si>
  <si>
    <t>Jugo de Naranja fresco</t>
  </si>
  <si>
    <t>Jugo Listo 1L</t>
  </si>
  <si>
    <t>Jugo de Pomelo</t>
  </si>
  <si>
    <t>Limonada base (Clásica/Frutos Rojos/Pomelada)</t>
  </si>
  <si>
    <t>Pulpa / Fruta para Daikiri</t>
  </si>
  <si>
    <t>900gr</t>
  </si>
  <si>
    <t>g</t>
  </si>
  <si>
    <t>Bebidas - Mixers y Refrescos</t>
  </si>
  <si>
    <t>Agua Con Gas / Sin Gas</t>
  </si>
  <si>
    <t>6,2L</t>
  </si>
  <si>
    <t>2,25L</t>
  </si>
  <si>
    <t>Agua Tónica</t>
  </si>
  <si>
    <t>1,5L</t>
  </si>
  <si>
    <t>Cerveza de Jengibre (Ginger Beer)</t>
  </si>
  <si>
    <t>355ml</t>
  </si>
  <si>
    <t>Coca Cola / Coca Zero 600cc</t>
  </si>
  <si>
    <t>600cc</t>
  </si>
  <si>
    <t>Coca Cola / Coca Zero</t>
  </si>
  <si>
    <t>250ML</t>
  </si>
  <si>
    <t>473ML</t>
  </si>
  <si>
    <t>Fanta</t>
  </si>
  <si>
    <t>3L</t>
  </si>
  <si>
    <t>Soda fresca</t>
  </si>
  <si>
    <t>Sprite 3L</t>
  </si>
  <si>
    <t>Bebidas - Vinos y Espumantes</t>
  </si>
  <si>
    <t>Espumante / Champagne Baron B</t>
  </si>
  <si>
    <t>750ML</t>
  </si>
  <si>
    <t>Espumante / Champagne Chandon</t>
  </si>
  <si>
    <t>Vino Blanco / Tinto (Botella/Copa)</t>
  </si>
  <si>
    <t>Tinto 750ml</t>
  </si>
  <si>
    <t>Comidas - Almacén y Aderezos</t>
  </si>
  <si>
    <t>Aceite de Girasol (Freír)</t>
  </si>
  <si>
    <t>900ml</t>
  </si>
  <si>
    <t>Aceite de Oliva (Común/Extra Virgen)</t>
  </si>
  <si>
    <t>500ML</t>
  </si>
  <si>
    <t>Aderezo César</t>
  </si>
  <si>
    <t>310GR</t>
  </si>
  <si>
    <t>Almíbar de Miel / Jengibre</t>
  </si>
  <si>
    <t>240gr</t>
  </si>
  <si>
    <t>Arroz base para Sushi</t>
  </si>
  <si>
    <t>1KG</t>
  </si>
  <si>
    <t>Azúcar (Blanca/Almíbar simple)</t>
  </si>
  <si>
    <t>Chimichurri artesanal</t>
  </si>
  <si>
    <t>Hielo / Hielo Picado</t>
  </si>
  <si>
    <t>10KG</t>
  </si>
  <si>
    <t>Huevo fresco</t>
  </si>
  <si>
    <t>Maple x 30 Unidades</t>
  </si>
  <si>
    <t>u</t>
  </si>
  <si>
    <t>Hummus (Garbanzos)</t>
  </si>
  <si>
    <t>300GR</t>
  </si>
  <si>
    <t>Ketchup</t>
  </si>
  <si>
    <t>500GR</t>
  </si>
  <si>
    <t>Maní Salado</t>
  </si>
  <si>
    <t>400G</t>
  </si>
  <si>
    <t>Mayonesa clásica / Mayonesa base Coleslaw</t>
  </si>
  <si>
    <t>950G</t>
  </si>
  <si>
    <t>Mostaza</t>
  </si>
  <si>
    <t>250G</t>
  </si>
  <si>
    <t>Orégano seco</t>
  </si>
  <si>
    <t>Papas Fritas (Bastón/Rústicas Prefritas)</t>
  </si>
  <si>
    <t>600G</t>
  </si>
  <si>
    <t>Sal Fina</t>
  </si>
  <si>
    <t>Salsa Barbacoa</t>
  </si>
  <si>
    <t>250GR</t>
  </si>
  <si>
    <t>Salsa Especial Park</t>
  </si>
  <si>
    <t>10kg</t>
  </si>
  <si>
    <t>Salsa de Soja / Teriyaki</t>
  </si>
  <si>
    <t>5LT</t>
  </si>
  <si>
    <t>Semillas de Sésamo</t>
  </si>
  <si>
    <t>Comidas - Carnes y Proteínas</t>
  </si>
  <si>
    <t>Carne Desmechada (Tapa de asado/Bondiola)</t>
  </si>
  <si>
    <t>Lomito Vacuno</t>
  </si>
  <si>
    <t>Medallón de Carne Vacuna (Hamburguesas)</t>
  </si>
  <si>
    <t>4 UNIDADES</t>
  </si>
  <si>
    <t>Nuggets de Pollo</t>
  </si>
  <si>
    <t>Pechuga de Pollo (Grillé/Crispy)</t>
  </si>
  <si>
    <t>Proteína para Poke Bowl Salmón</t>
  </si>
  <si>
    <t>Ragú de Carne Estofada</t>
  </si>
  <si>
    <t>Tapa de Asado</t>
  </si>
  <si>
    <t>Comidas - Fiambrería</t>
  </si>
  <si>
    <t>Jamón Cocido</t>
  </si>
  <si>
    <t>Jamón Crudo</t>
  </si>
  <si>
    <t>3,7KG</t>
  </si>
  <si>
    <t>Panceta Ahumada</t>
  </si>
  <si>
    <t>1,75KG</t>
  </si>
  <si>
    <t>Salame tipo Milán</t>
  </si>
  <si>
    <t>Comidas - Lácteos y Quesos</t>
  </si>
  <si>
    <t>Queso Azul</t>
  </si>
  <si>
    <t>Queso Cheddar (Fetas/Salsa Fundida)</t>
  </si>
  <si>
    <t>Queso Crema con hierbas</t>
  </si>
  <si>
    <t>226GR</t>
  </si>
  <si>
    <t>Queso Danbo</t>
  </si>
  <si>
    <t>5KG</t>
  </si>
  <si>
    <t>Queso Muzarella (Barra/Premium)</t>
  </si>
  <si>
    <t>Queso Parmesano (Hebras/Escamas)</t>
  </si>
  <si>
    <t>Queso Pategrás</t>
  </si>
  <si>
    <t>Queso Provoleta</t>
  </si>
  <si>
    <t>4KG</t>
  </si>
  <si>
    <t>Comidas - Panificados y Masas</t>
  </si>
  <si>
    <t>Crotones de Pan</t>
  </si>
  <si>
    <t>Masa de Pizza (Bollos de media masa)</t>
  </si>
  <si>
    <t>UNIDAD</t>
  </si>
  <si>
    <t>Pan Baguette Rústico</t>
  </si>
  <si>
    <t>Pan Ciabatta / Flat / Francés</t>
  </si>
  <si>
    <t>Pan Integral / Sin TACC</t>
  </si>
  <si>
    <t>560GR</t>
  </si>
  <si>
    <t>Pan de Hamburguesa (Sésamo/Brioche/Clásico)</t>
  </si>
  <si>
    <t>210GR</t>
  </si>
  <si>
    <t>Panera (Pancitos variados)</t>
  </si>
  <si>
    <t>460GR</t>
  </si>
  <si>
    <t>Comidas - Postres y Dulces</t>
  </si>
  <si>
    <t>Cuadrado de Brownie Chocolate</t>
  </si>
  <si>
    <t>unidad</t>
  </si>
  <si>
    <t>Helado (Crema Americana)</t>
  </si>
  <si>
    <t>Nueces picadas</t>
  </si>
  <si>
    <t>Salsa de Chocolate cobertura</t>
  </si>
  <si>
    <t>320GR</t>
  </si>
  <si>
    <t>Comidas - Verduras y Frescos</t>
  </si>
  <si>
    <t>Aceitunas (Verdes/Negras)</t>
  </si>
  <si>
    <t>Berenjena</t>
  </si>
  <si>
    <t>Cebolla Caramelizada</t>
  </si>
  <si>
    <t>Cebolla blanca</t>
  </si>
  <si>
    <t>Cebolla de Verdeo</t>
  </si>
  <si>
    <t>Hojas de Albahaca Fresca</t>
  </si>
  <si>
    <t>Hojas de Rúcula Fresca</t>
  </si>
  <si>
    <t>Lechuga (Romana/Capuchina)</t>
  </si>
  <si>
    <t>Limas y Limones (Gajos/Rodajas/Jugos)</t>
  </si>
  <si>
    <t>Menta fresca (Hojas)</t>
  </si>
  <si>
    <t>Morrón Rojo</t>
  </si>
  <si>
    <t>Palta fresca</t>
  </si>
  <si>
    <t>Pepino (Japonés/Pepinillos en Vinagre)</t>
  </si>
  <si>
    <t>Repollo (Blanco/Morado)</t>
  </si>
  <si>
    <t>Tomate redondo</t>
  </si>
  <si>
    <t>Zanahoria</t>
  </si>
  <si>
    <t>Zucchini</t>
  </si>
  <si>
    <t>Unidad de receta</t>
  </si>
  <si>
    <t>Equivale a</t>
  </si>
  <si>
    <t>Aplica a</t>
  </si>
  <si>
    <t>Tipo</t>
  </si>
  <si>
    <t>1 cucharada</t>
  </si>
  <si>
    <t>12</t>
  </si>
  <si>
    <t>Azúcar y similares</t>
  </si>
  <si>
    <t>1 bocha</t>
  </si>
  <si>
    <t>60</t>
  </si>
  <si>
    <t>Helado</t>
  </si>
  <si>
    <t>1 hoja</t>
  </si>
  <si>
    <t>0.5</t>
  </si>
  <si>
    <t>Menta / Albahaca</t>
  </si>
  <si>
    <t>1 gajo</t>
  </si>
  <si>
    <t>15</t>
  </si>
  <si>
    <t>Lima / Limón</t>
  </si>
  <si>
    <t>1 rodaja</t>
  </si>
  <si>
    <t>Limón / Naranja</t>
  </si>
  <si>
    <t>1 medida / trago</t>
  </si>
  <si>
    <t>Destilados (pour de vaso)</t>
  </si>
  <si>
    <t>1 shot</t>
  </si>
  <si>
    <t>45</t>
  </si>
  <si>
    <t>Whisky / shots</t>
  </si>
  <si>
    <t>1 lata Red Bull</t>
  </si>
  <si>
    <t>250</t>
  </si>
  <si>
    <t>Dato de envase</t>
  </si>
  <si>
    <t>1 lata Speed</t>
  </si>
  <si>
    <t>473</t>
  </si>
  <si>
    <t>1 porón</t>
  </si>
  <si>
    <t>330</t>
  </si>
  <si>
    <t>Corona (Bulldog)</t>
  </si>
  <si>
    <t>1 unidad = botella 330ml</t>
  </si>
  <si>
    <t>1 vaso / porción agua</t>
  </si>
  <si>
    <t>Aguas / gaseosas de barra</t>
  </si>
  <si>
    <t>1 vaso limonada</t>
  </si>
  <si>
    <t>Limonadas</t>
  </si>
  <si>
    <t>1 vaso tónica</t>
  </si>
  <si>
    <t>Tónica suelta</t>
  </si>
  <si>
    <t>A gusto</t>
  </si>
  <si>
    <t>Hielo / Sal (costo despreciable)</t>
  </si>
  <si>
    <t>Producto / Ítem</t>
  </si>
  <si>
    <t>Precio de Venta</t>
  </si>
  <si>
    <t>ABSOLUT FRUTOS ROJOS + REDBULL</t>
  </si>
  <si>
    <t>ABSOLUT FRUTOS ROJOS + SPEED</t>
  </si>
  <si>
    <t>ABSOLUT UVA + SPEED</t>
  </si>
  <si>
    <t>GIN ACONCAGUA VASO</t>
  </si>
  <si>
    <t>GIN BEEFEATER</t>
  </si>
  <si>
    <t>GIN BRIGHTON</t>
  </si>
  <si>
    <t>PLASTICO ABSOLUT + SPEED</t>
  </si>
  <si>
    <t>PLASTICO FERNET + COCA</t>
  </si>
  <si>
    <t>SMIRNOFF FRUTOS ROJOS + SPEED</t>
  </si>
  <si>
    <t>SMIRNOFF MANZANA + SPEED</t>
  </si>
  <si>
    <t>SMIRNOFF MARACUYA + SPEED</t>
  </si>
  <si>
    <t>VASO PLASTICO ABSOLUT + RED BULL</t>
  </si>
  <si>
    <t>VASO PLASTICO SMIRNOFF + SPEED</t>
  </si>
  <si>
    <t>2 x 1 FERNET</t>
  </si>
  <si>
    <t>2 x 1 GIN TONIC</t>
  </si>
  <si>
    <t>2 X 1 CAIPIRINHA</t>
  </si>
  <si>
    <t>2 x 1 APEROL</t>
  </si>
  <si>
    <t>2 x 1 VODKA</t>
  </si>
  <si>
    <t>ABSOLUT + RED BULL</t>
  </si>
  <si>
    <t>ABSOLUT + SPEED</t>
  </si>
  <si>
    <t>BEEFEATER + TONICA</t>
  </si>
  <si>
    <t>BOTELLA VINO</t>
  </si>
  <si>
    <t>CAIPIRINHA</t>
  </si>
  <si>
    <t>CARPANO ROSSO + SIFON DE SODA</t>
  </si>
  <si>
    <t>CHANDON + ENERGIZANTES</t>
  </si>
  <si>
    <t>CHIVAS REGAL</t>
  </si>
  <si>
    <t>CINZANO ROSSO + SIFON DE SODA</t>
  </si>
  <si>
    <t>COPA DE VINO</t>
  </si>
  <si>
    <t>CYNAR JULEP</t>
  </si>
  <si>
    <t>GIN ACONCAGUA</t>
  </si>
  <si>
    <t>GIN TANQUERAY</t>
  </si>
  <si>
    <t>HEINEKEN CHICA</t>
  </si>
  <si>
    <t>JACK DANIELS</t>
  </si>
  <si>
    <t>QUILMES 1L</t>
  </si>
  <si>
    <t>SERNOVA + 4 ENERGIZANTES</t>
  </si>
  <si>
    <t>SMIRNOFF + RED BULL</t>
  </si>
  <si>
    <t>SMIRNOFF + SPEED</t>
  </si>
  <si>
    <t>SMIRNOFF + SPRITE</t>
  </si>
  <si>
    <t>VERMOUT + SODA</t>
  </si>
  <si>
    <t>BEBIDAS SIN ALCOHOL</t>
  </si>
  <si>
    <t>COCA 600CC</t>
  </si>
  <si>
    <t>COCA ZERO 600CC</t>
  </si>
  <si>
    <t>FANTA 600CC</t>
  </si>
  <si>
    <t>LIMONADA POMELADA</t>
  </si>
  <si>
    <t>SPRITE 600CC</t>
  </si>
  <si>
    <t>ANDES 1LT</t>
  </si>
  <si>
    <t>CORONA 330</t>
  </si>
  <si>
    <t>HEINEKEN 1 LT</t>
  </si>
  <si>
    <t>ENSALADAS</t>
  </si>
  <si>
    <t>ENSALADA CESAR</t>
  </si>
  <si>
    <t>POKE BOWL</t>
  </si>
  <si>
    <t>SAND. KENTUCKY</t>
  </si>
  <si>
    <t>NUGGETS</t>
  </si>
  <si>
    <t>POSTRES</t>
  </si>
  <si>
    <t>BROWNIE</t>
  </si>
  <si>
    <t>COMBO CUMPLEANOS</t>
  </si>
  <si>
    <t>COMBO CUMPLEANOS 2</t>
  </si>
  <si>
    <t>COMBO CUMPLEANOS PREMIUM</t>
  </si>
  <si>
    <t>SUSHI 12 PIEZAS</t>
  </si>
  <si>
    <t>SUSHI 15 PIEZAS</t>
  </si>
  <si>
    <t>SUSHI 24 PIEZAS</t>
  </si>
  <si>
    <t>SUSHI 8 PIEZAS</t>
  </si>
  <si>
    <t>Nombre del Trago</t>
  </si>
  <si>
    <t>Ingrediente 1</t>
  </si>
  <si>
    <t>Cantidad 1</t>
  </si>
  <si>
    <t>Ingrediente 2</t>
  </si>
  <si>
    <t>Cantidad 2</t>
  </si>
  <si>
    <t>Ingrediente 3</t>
  </si>
  <si>
    <t>Cantidad 3</t>
  </si>
  <si>
    <t>Ingrediente 4</t>
  </si>
  <si>
    <t>Cantidad 4</t>
  </si>
  <si>
    <t>Ingrediente 5</t>
  </si>
  <si>
    <t>Cantidad 5</t>
  </si>
  <si>
    <t>Ingrediente 6</t>
  </si>
  <si>
    <t>Cantidad 6</t>
  </si>
  <si>
    <t>60 ml</t>
  </si>
  <si>
    <t>Coca Cola (Insumo Barra)</t>
  </si>
  <si>
    <t>250 ml</t>
  </si>
  <si>
    <t>Hielo</t>
  </si>
  <si>
    <t>120gr</t>
  </si>
  <si>
    <t>GIN TONIC</t>
  </si>
  <si>
    <t>Gin (Brighton/Beefeater)</t>
  </si>
  <si>
    <t>Rodaja de Limón</t>
  </si>
  <si>
    <t>50gr</t>
  </si>
  <si>
    <t>Soda o Sprite</t>
  </si>
  <si>
    <t>200 ml</t>
  </si>
  <si>
    <t>Hojas de Menta</t>
  </si>
  <si>
    <t>Lima en gajos</t>
  </si>
  <si>
    <t>Azúcar</t>
  </si>
  <si>
    <t>15gr</t>
  </si>
  <si>
    <t>Hielo picado</t>
  </si>
  <si>
    <t>Sprite</t>
  </si>
  <si>
    <t>Whisky</t>
  </si>
  <si>
    <t>Almíbar de Miel</t>
  </si>
  <si>
    <t>15 ml</t>
  </si>
  <si>
    <t>Almíbar de Jengibre</t>
  </si>
  <si>
    <t>Jugo de Limón</t>
  </si>
  <si>
    <t>25 ml</t>
  </si>
  <si>
    <t>Cerveza Corona (Porón)</t>
  </si>
  <si>
    <t>1 unidad</t>
  </si>
  <si>
    <t>45 ml</t>
  </si>
  <si>
    <t>Jugo de Lima</t>
  </si>
  <si>
    <t>30 ml</t>
  </si>
  <si>
    <t>5 ml</t>
  </si>
  <si>
    <t>90 ml</t>
  </si>
  <si>
    <t>270 ml</t>
  </si>
  <si>
    <t>Pulpa de Fruta</t>
  </si>
  <si>
    <t>120 ml</t>
  </si>
  <si>
    <t>Almíbar simple</t>
  </si>
  <si>
    <t>Espumante (Champagne)</t>
  </si>
  <si>
    <t>Soda</t>
  </si>
  <si>
    <t>Rodaja de Naranja</t>
  </si>
  <si>
    <t>Vodka</t>
  </si>
  <si>
    <t>Cerveza de Jengibre</t>
  </si>
  <si>
    <t>Helado de crema americana</t>
  </si>
  <si>
    <t>250gr</t>
  </si>
  <si>
    <t>ABSOLUT + SPEED / RED BULL</t>
  </si>
  <si>
    <t>Energizante (Speed/Red Bull)</t>
  </si>
  <si>
    <t>1 lata</t>
  </si>
  <si>
    <t>Gin</t>
  </si>
  <si>
    <t>Vermouth Rosso</t>
  </si>
  <si>
    <t>Whisky Red Label</t>
  </si>
  <si>
    <t>Limas en gajos</t>
  </si>
  <si>
    <t>Azúcar blanca</t>
  </si>
  <si>
    <t>45gr</t>
  </si>
  <si>
    <t>Hojas de Menta fresca</t>
  </si>
  <si>
    <t>Jugo de Naranja o Tónica</t>
  </si>
  <si>
    <t>Vermouth Rosso (Cinzano/Carpano)</t>
  </si>
  <si>
    <t>150 ml</t>
  </si>
  <si>
    <t>Nombre del Plato</t>
  </si>
  <si>
    <t>Ingrediente 7</t>
  </si>
  <si>
    <t>Cantidad 7</t>
  </si>
  <si>
    <t>Ingrediente 8</t>
  </si>
  <si>
    <t>Cantidad 8</t>
  </si>
  <si>
    <t>Ingrediente 9</t>
  </si>
  <si>
    <t>Cantidad 9</t>
  </si>
  <si>
    <t>Lechuga Romana</t>
  </si>
  <si>
    <t>120g</t>
  </si>
  <si>
    <t>Pechuga de Pollo Grillé</t>
  </si>
  <si>
    <t>30g</t>
  </si>
  <si>
    <t>Queso Parmesano en Hebras</t>
  </si>
  <si>
    <t>20g</t>
  </si>
  <si>
    <t>150g</t>
  </si>
  <si>
    <t>Proteína (Salmón/Pollo)</t>
  </si>
  <si>
    <t>100g</t>
  </si>
  <si>
    <t>50g</t>
  </si>
  <si>
    <t>Pepino japonés</t>
  </si>
  <si>
    <t>40g</t>
  </si>
  <si>
    <t>5g</t>
  </si>
  <si>
    <t>20ml</t>
  </si>
  <si>
    <t>Lomito Vacuno o Pechuga</t>
  </si>
  <si>
    <t>Queso Danbo / Muzarella</t>
  </si>
  <si>
    <t>Tomate en rodajas</t>
  </si>
  <si>
    <t>Mayonesa clásica</t>
  </si>
  <si>
    <t>Medallón de Carne Vacuna 1</t>
  </si>
  <si>
    <t>Medallón de Carne Vacuna 2</t>
  </si>
  <si>
    <t>Pan con Sésamo</t>
  </si>
  <si>
    <t>Queso Cheddar en Fetas</t>
  </si>
  <si>
    <t>80g</t>
  </si>
  <si>
    <t>Panceta Ahumada crocante</t>
  </si>
  <si>
    <t>Huevo frito</t>
  </si>
  <si>
    <t>Medallón de Carne Vacuna</t>
  </si>
  <si>
    <t>115g</t>
  </si>
  <si>
    <t>Pan Brioche de Hamburguesa</t>
  </si>
  <si>
    <t>Cebolla blanca picada</t>
  </si>
  <si>
    <t>15g</t>
  </si>
  <si>
    <t>Pepinillos en vinagre</t>
  </si>
  <si>
    <t>10g</t>
  </si>
  <si>
    <t>Carne Desmechada (Tapa/Bondiola)</t>
  </si>
  <si>
    <t>160g</t>
  </si>
  <si>
    <t>Pan Ciabatta o Flat</t>
  </si>
  <si>
    <t>Queso Muzarella fundido</t>
  </si>
  <si>
    <t>Pan de Hamburguesa Clásico</t>
  </si>
  <si>
    <t>Lechuga Capuchina picada</t>
  </si>
  <si>
    <t>25g</t>
  </si>
  <si>
    <t>Pechuga de Pollo Crispy Frito</t>
  </si>
  <si>
    <t>Pan Brioche</t>
  </si>
  <si>
    <t>Repollo blanco y morado</t>
  </si>
  <si>
    <t>Zanahoria rallada</t>
  </si>
  <si>
    <t>Mayonesa base Coleslaw</t>
  </si>
  <si>
    <t>Tapa de Asado Horneada</t>
  </si>
  <si>
    <t>180g</t>
  </si>
  <si>
    <t>Pan Francés rústico</t>
  </si>
  <si>
    <t>Queso Provoleta fundido</t>
  </si>
  <si>
    <t>60g</t>
  </si>
  <si>
    <t>Papas Bastón Prefritas</t>
  </si>
  <si>
    <t>500g</t>
  </si>
  <si>
    <t>Salsa Cheddar fundido</t>
  </si>
  <si>
    <t>Ragú de Carne estofada</t>
  </si>
  <si>
    <t>Aceite de Girasol (absorción)</t>
  </si>
  <si>
    <t>30ml</t>
  </si>
  <si>
    <t>10 unidades</t>
  </si>
  <si>
    <t>Mayonesa / Aderezo</t>
  </si>
  <si>
    <t>Aceite de Girasol (freír)</t>
  </si>
  <si>
    <t>Papas Fritas Rústicas</t>
  </si>
  <si>
    <t>300g</t>
  </si>
  <si>
    <t>2 unidades</t>
  </si>
  <si>
    <t>Panceta picada crocante</t>
  </si>
  <si>
    <t>Cebolla de Verdeo picada</t>
  </si>
  <si>
    <t>Papas Fritas Bastón</t>
  </si>
  <si>
    <t>Salsa Cheddar Fundido</t>
  </si>
  <si>
    <t>Panceta Ahumada picada</t>
  </si>
  <si>
    <t>25ml</t>
  </si>
  <si>
    <t>Estofado / Ragú de Carne</t>
  </si>
  <si>
    <t>Queso Parmesano rallado</t>
  </si>
  <si>
    <t>Jamón Crudo feteado</t>
  </si>
  <si>
    <t>Jamón Cocido feteado</t>
  </si>
  <si>
    <t>70g</t>
  </si>
  <si>
    <t>Queso Muzarella en cubos</t>
  </si>
  <si>
    <t>Aceitunas Verdes y Negras</t>
  </si>
  <si>
    <t>Masa de Pizza (bollo)</t>
  </si>
  <si>
    <t>250g</t>
  </si>
  <si>
    <t>Queso Muzarella</t>
  </si>
  <si>
    <t>Cebolla Blanca en juliana</t>
  </si>
  <si>
    <t>2g</t>
  </si>
  <si>
    <t>Aceitunas Verdes</t>
  </si>
  <si>
    <t>8 unidades</t>
  </si>
  <si>
    <t>Aceite de Oliva</t>
  </si>
  <si>
    <t>10ml</t>
  </si>
  <si>
    <t>Salsa de Tomate base</t>
  </si>
  <si>
    <t>Jamón Cocido en fetas</t>
  </si>
  <si>
    <t>Morrones en tiras</t>
  </si>
  <si>
    <t>Queso Muzarella Premium</t>
  </si>
  <si>
    <t>Aceite de Oliva Extra Virgen</t>
  </si>
  <si>
    <t>15ml</t>
  </si>
  <si>
    <t>220g</t>
  </si>
  <si>
    <t>Jamón Crudo en fetas</t>
  </si>
  <si>
    <t>Queso Parmesano en escamas</t>
  </si>
  <si>
    <t>Cuadrado de Brownie</t>
  </si>
  <si>
    <t>Bocha de Helado Americana</t>
  </si>
  <si>
    <t>90g</t>
  </si>
  <si>
    <t>Zucchini asado</t>
  </si>
  <si>
    <t>Berenjena asada</t>
  </si>
  <si>
    <t>Morrón rojo asado</t>
  </si>
  <si>
    <t>Hummus (garbanzos)</t>
  </si>
  <si>
    <t>Queso Cream con hierbas</t>
  </si>
  <si>
    <t>Categoría de Insumo</t>
  </si>
  <si>
    <t>Ítem / Ingrediente</t>
  </si>
  <si>
    <t>Precio unitario</t>
  </si>
  <si>
    <t>Presentacion</t>
  </si>
  <si>
    <t>Total Único de Insumos</t>
  </si>
  <si>
    <t>Categoría Principal</t>
  </si>
  <si>
    <t>Subcategoría / Ítem</t>
  </si>
  <si>
    <t>Cantidad</t>
  </si>
  <si>
    <t>Unitario</t>
  </si>
  <si>
    <t>Descripción del Gasto</t>
  </si>
  <si>
    <t>Monto Mensual Estimado</t>
  </si>
  <si>
    <t>Infraestructura</t>
  </si>
  <si>
    <t>Alquiler del Local</t>
  </si>
  <si>
    <t>Cuanto se le paga a juan</t>
  </si>
  <si>
    <t>Mantenimiento Preventivo</t>
  </si>
  <si>
    <t>Mantenimiento general</t>
  </si>
  <si>
    <t>Fumigación y Control</t>
  </si>
  <si>
    <t>Servicio mensual obligatorio</t>
  </si>
  <si>
    <t>Limpieza Profunda Externa</t>
  </si>
  <si>
    <t>Costo limpieza cocina</t>
  </si>
  <si>
    <t>Servicios Públicos</t>
  </si>
  <si>
    <t>Energía Eléctrica</t>
  </si>
  <si>
    <t>Edelar</t>
  </si>
  <si>
    <t>Agua</t>
  </si>
  <si>
    <t xml:space="preserve">Agua </t>
  </si>
  <si>
    <t>Gas</t>
  </si>
  <si>
    <t>Garrafa</t>
  </si>
  <si>
    <t>Natural</t>
  </si>
  <si>
    <t>Internet</t>
  </si>
  <si>
    <t>Telefonía Móvil/Fija</t>
  </si>
  <si>
    <t>se gasta algo?</t>
  </si>
  <si>
    <t>Personal Fijo</t>
  </si>
  <si>
    <t>Sueldo: Encargado/Gerente</t>
  </si>
  <si>
    <t>Salario base mensual</t>
  </si>
  <si>
    <t>Sueldo: Auxiliar Barra</t>
  </si>
  <si>
    <t>Sueldo: Jefe de Barra</t>
  </si>
  <si>
    <t>Sueldo:Auxiliar Cocina</t>
  </si>
  <si>
    <t>Sueldo: Jefe de Cocina</t>
  </si>
  <si>
    <t>Sueldo: Personal de Salón (Mozos)</t>
  </si>
  <si>
    <t>Sueldo: Limpieza</t>
  </si>
  <si>
    <t>Cargas Sociales</t>
  </si>
  <si>
    <t>Honorarios Contador</t>
  </si>
  <si>
    <t>Esteban?</t>
  </si>
  <si>
    <t>Impuestos y Seguros</t>
  </si>
  <si>
    <t>Tasas Municipales</t>
  </si>
  <si>
    <t>Tasa de seguridad e higiene</t>
  </si>
  <si>
    <t>Seguro de Comercio</t>
  </si>
  <si>
    <t>Hay?</t>
  </si>
  <si>
    <t>ART</t>
  </si>
  <si>
    <t>ver con quien liquide sueldos</t>
  </si>
  <si>
    <t>Seguro Vida Obligatorio</t>
  </si>
  <si>
    <t>Derechos Musicales</t>
  </si>
  <si>
    <t>SADAIC / AADI-CAPIF</t>
  </si>
  <si>
    <t>Sistemas y Marketing</t>
  </si>
  <si>
    <t>Sistema POS</t>
  </si>
  <si>
    <t>Bistro</t>
  </si>
  <si>
    <t>Facturación Electrónica</t>
  </si>
  <si>
    <t>Alquiler Posnet</t>
  </si>
  <si>
    <t>Costo fijo por terminales</t>
  </si>
  <si>
    <t>Agencia Marketing</t>
  </si>
  <si>
    <t xml:space="preserve">CM </t>
  </si>
  <si>
    <t>Pauta Publicitaria</t>
  </si>
  <si>
    <t>Inversion en Ads</t>
  </si>
  <si>
    <t>Otros</t>
  </si>
  <si>
    <t>Movilidad</t>
  </si>
  <si>
    <t>Nafta</t>
  </si>
  <si>
    <t>Fondo Contingencia</t>
  </si>
  <si>
    <t>Gastos imprevistos</t>
  </si>
  <si>
    <t>TOTAL COSTOS FIJOS</t>
  </si>
  <si>
    <t>Gin Bombay</t>
  </si>
  <si>
    <t>OK</t>
  </si>
  <si>
    <t>Falta costo Gin Bombay; costear con gin proxy -COSTEADO0</t>
  </si>
  <si>
    <t>MODIFICA A POUR. NO ES BOTELLA ENTERA</t>
  </si>
  <si>
    <t>costeado listo porron 710</t>
  </si>
  <si>
    <t>Tubos de Calamar</t>
  </si>
  <si>
    <t>400g</t>
  </si>
  <si>
    <t>Harina de Trigo</t>
  </si>
  <si>
    <t>Aceite para Freír</t>
  </si>
  <si>
    <t>500ml</t>
  </si>
  <si>
    <t>Sal fina</t>
  </si>
  <si>
    <t>Limón (decoración)</t>
  </si>
  <si>
    <t>25gr</t>
  </si>
  <si>
    <t>Cerveza Corona Porron 710ml</t>
  </si>
  <si>
    <t>Cerveza Corona Porroncito 330ml</t>
  </si>
  <si>
    <t>Corona 710</t>
  </si>
  <si>
    <t>Cerveza Heineken 1L</t>
  </si>
  <si>
    <t>Cerveza Heineken Chica 330ml</t>
  </si>
  <si>
    <t>SUSHI</t>
  </si>
  <si>
    <t>ROLL NEW YORK</t>
  </si>
  <si>
    <t>Arroz para Sushi</t>
  </si>
  <si>
    <t>Salmón Fresco</t>
  </si>
  <si>
    <t>Queso Crema</t>
  </si>
  <si>
    <t>Alga Nori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</si>
</sst>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"/>
    <numFmt numFmtId="165" formatCode="\$#,##0.00"/>
    <numFmt numFmtId="166" formatCode="_(\$* #,##0.00_);_(\$* \(#,##0.00\);_(\$* \-??_);_(@_)"/>
    <numFmt numFmtId="167" formatCode="_(&quot;$ &quot;* #,##0.00_);_(&quot;$ &quot;* \(#,##0.00\);_(&quot;$ &quot;* \-??_);_(@_)"/>
    <numFmt numFmtId="168" formatCode="[$ $]#,##0.00"/>
  </numFmts>
  <fonts count="12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color rgb="FFC00000"/>
      <name val="Arial"/>
      <family val="2"/>
    </font>
    <font>
      <b/>
      <sz val="11"/>
      <color rgb="FFFFFFFF"/>
      <name val="Segoe UI"/>
      <charset val="1"/>
    </font>
    <font>
      <sz val="11"/>
      <color rgb="FF333333"/>
      <name val="Segoe UI"/>
      <charset val="1"/>
    </font>
    <font>
      <b/>
      <sz val="11"/>
      <color rgb="FF1F4E78"/>
      <name val="Segoe UI"/>
      <charset val="1"/>
    </font>
    <font>
      <b/>
      <sz val="11"/>
      <color rgb="FFFFFFFF"/>
      <name val="Quattrocento Sans"/>
      <charset val="1"/>
    </font>
    <font>
      <sz val="11"/>
      <color rgb="FF334155"/>
      <name val="Quattrocento Sans"/>
      <charset val="1"/>
    </font>
    <font>
      <b/>
      <sz val="11"/>
      <color rgb="FF0F172A"/>
      <name val="Quattrocento Sans"/>
      <charset val="1"/>
    </font>
    <font>
      <sz val="11"/>
      <color theme="1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4155"/>
      </patternFill>
    </fill>
    <fill>
      <patternFill patternType="solid">
        <fgColor rgb="FFFFF2CC"/>
        <bgColor rgb="FFF2F4F7"/>
      </patternFill>
    </fill>
    <fill>
      <patternFill patternType="solid">
        <fgColor rgb="FF1F4E78"/>
        <bgColor rgb="FF1F3864"/>
      </patternFill>
    </fill>
    <fill>
      <patternFill patternType="solid">
        <fgColor rgb="FFF2F4F7"/>
        <bgColor rgb="FFF8FAFC"/>
      </patternFill>
    </fill>
    <fill>
      <patternFill patternType="solid">
        <fgColor rgb="FF1E293B"/>
        <bgColor rgb="FF333333"/>
      </patternFill>
    </fill>
    <fill>
      <patternFill patternType="solid">
        <fgColor rgb="FFF8FAFC"/>
        <bgColor rgb="FFFFFFFF"/>
      </patternFill>
    </fill>
    <fill>
      <patternFill patternType="solid">
        <fgColor rgb="FFE2E8F0"/>
        <bgColor rgb="FFF2F4F7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1F4E78"/>
      </top>
      <bottom style="double">
        <color rgb="FF1F4E78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 style="double">
        <color rgb="FF475569"/>
      </bottom>
      <diagonal/>
    </border>
  </borders>
  <cellStyleXfs count="2">
    <xf numFmtId="0" fontId="0" fillId="0" borderId="0"/>
    <xf numFmtId="166" fontId="11" fillId="0" borderId="0"/>
  </cellStyleXfs>
  <cellXfs count="29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164" fontId="3" fillId="0" borderId="1" xfId="0" applyNumberFormat="1" applyFont="1" applyBorder="1" applyAlignment="1">
      <alignment vertical="center"/>
    </xf>
    <xf numFmtId="165" fontId="3" fillId="0" borderId="1" xfId="0" applyNumberFormat="1" applyFont="1" applyBorder="1" applyAlignment="1">
      <alignment vertical="center"/>
    </xf>
    <xf numFmtId="0" fontId="5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65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5" fontId="6" fillId="5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167" fontId="11" fillId="0" borderId="0" xfId="1" applyNumberFormat="1"/>
    <xf numFmtId="0" fontId="7" fillId="0" borderId="2" xfId="0" applyFont="1" applyBorder="1"/>
    <xf numFmtId="0" fontId="8" fillId="6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9" fillId="0" borderId="3" xfId="0" applyFont="1" applyBorder="1" applyAlignment="1">
      <alignment horizontal="center" vertical="center"/>
    </xf>
    <xf numFmtId="168" fontId="9" fillId="0" borderId="3" xfId="0" applyNumberFormat="1" applyFont="1" applyBorder="1" applyAlignment="1">
      <alignment horizontal="center" vertical="center"/>
    </xf>
    <xf numFmtId="164" fontId="9" fillId="0" borderId="3" xfId="0" applyNumberFormat="1" applyFont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/>
    </xf>
    <xf numFmtId="168" fontId="9" fillId="7" borderId="3" xfId="0" applyNumberFormat="1" applyFont="1" applyFill="1" applyBorder="1" applyAlignment="1">
      <alignment horizontal="center" vertical="center"/>
    </xf>
    <xf numFmtId="164" fontId="10" fillId="8" borderId="4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0" fillId="8" borderId="4" xfId="0" applyFont="1" applyFill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2CC"/>
      <rgbColor rgb="FFE2E8F0"/>
      <rgbColor rgb="FF660066"/>
      <rgbColor rgb="FFFF8080"/>
      <rgbColor rgb="FF1F4E78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4F7"/>
      <rgbColor rgb="FFF8FAF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1F3864"/>
      <rgbColor rgb="FF339966"/>
      <rgbColor rgb="FF0F172A"/>
      <rgbColor rgb="FF1E293B"/>
      <rgbColor rgb="FF993300"/>
      <rgbColor rgb="FF993366"/>
      <rgbColor rgb="FF33415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1"/>
  <sheetViews>
    <sheetView zoomScaleNormal="100" workbookViewId="0">
      <pane ySplit="1" topLeftCell="A19" activePane="bottomLeft" state="frozen"/>
      <selection pane="bottomLeft" activeCell="A52" sqref="A52:XFD52"/>
    </sheetView>
  </sheetViews>
  <sheetFormatPr baseColWidth="10" defaultColWidth="8.6640625" defaultRowHeight="15" x14ac:dyDescent="0.2"/>
  <cols>
    <col min="1" max="1" width="34" customWidth="1"/>
    <col min="2" max="2" width="24" customWidth="1"/>
    <col min="3" max="3" width="26" customWidth="1"/>
    <col min="4" max="4" width="14" customWidth="1"/>
    <col min="5" max="5" width="8" customWidth="1"/>
    <col min="6" max="6" width="15" customWidth="1"/>
    <col min="7" max="7" width="38" customWidth="1"/>
    <col min="8" max="8" width="46" customWidth="1"/>
  </cols>
  <sheetData>
    <row r="1" spans="1: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 t="s">
        <v>8</v>
      </c>
      <c r="B2" s="2" t="s">
        <v>9</v>
      </c>
      <c r="C2" s="2" t="s">
        <v>10</v>
      </c>
      <c r="D2" s="2" t="s">
        <v>11</v>
      </c>
      <c r="E2" s="2">
        <v>2</v>
      </c>
      <c r="F2" s="2"/>
      <c r="G2" s="2" t="s">
        <v>12</v>
      </c>
      <c r="H2" s="2"/>
    </row>
    <row r="3" spans="1:8" x14ac:dyDescent="0.2">
      <c r="A3" s="2" t="s">
        <v>13</v>
      </c>
      <c r="B3" s="2" t="s">
        <v>9</v>
      </c>
      <c r="C3" s="2" t="s">
        <v>14</v>
      </c>
      <c r="D3" s="2" t="s">
        <v>11</v>
      </c>
      <c r="E3" s="2">
        <v>2</v>
      </c>
      <c r="F3" s="2"/>
      <c r="G3" s="2" t="s">
        <v>15</v>
      </c>
      <c r="H3" s="2"/>
    </row>
    <row r="4" spans="1:8" x14ac:dyDescent="0.2">
      <c r="A4" s="2" t="s">
        <v>16</v>
      </c>
      <c r="B4" s="2" t="s">
        <v>9</v>
      </c>
      <c r="C4" s="2" t="s">
        <v>17</v>
      </c>
      <c r="D4" s="2" t="s">
        <v>11</v>
      </c>
      <c r="E4" s="2">
        <v>2</v>
      </c>
      <c r="F4" s="2"/>
      <c r="G4" s="2" t="s">
        <v>18</v>
      </c>
      <c r="H4" s="3" t="s">
        <v>19</v>
      </c>
    </row>
    <row r="5" spans="1:8" x14ac:dyDescent="0.2">
      <c r="A5" s="2" t="s">
        <v>20</v>
      </c>
      <c r="B5" s="2" t="s">
        <v>9</v>
      </c>
      <c r="C5" s="2" t="s">
        <v>21</v>
      </c>
      <c r="D5" s="2" t="s">
        <v>11</v>
      </c>
      <c r="E5" s="2">
        <v>2</v>
      </c>
      <c r="F5" s="2"/>
      <c r="G5" s="2" t="s">
        <v>22</v>
      </c>
      <c r="H5" s="3" t="s">
        <v>23</v>
      </c>
    </row>
    <row r="6" spans="1:8" x14ac:dyDescent="0.2">
      <c r="A6" s="2" t="s">
        <v>24</v>
      </c>
      <c r="B6" s="2" t="s">
        <v>9</v>
      </c>
      <c r="C6" s="2" t="s">
        <v>25</v>
      </c>
      <c r="D6" s="2" t="s">
        <v>26</v>
      </c>
      <c r="E6" s="2">
        <v>1</v>
      </c>
      <c r="F6" s="2"/>
      <c r="G6" s="2" t="s">
        <v>12</v>
      </c>
      <c r="H6" s="2"/>
    </row>
    <row r="7" spans="1:8" x14ac:dyDescent="0.2">
      <c r="A7" s="2" t="s">
        <v>27</v>
      </c>
      <c r="B7" s="2" t="s">
        <v>9</v>
      </c>
      <c r="C7" s="2" t="s">
        <v>28</v>
      </c>
      <c r="D7" s="2" t="s">
        <v>26</v>
      </c>
      <c r="E7" s="2">
        <v>1</v>
      </c>
      <c r="F7" s="2"/>
      <c r="G7" s="2" t="s">
        <v>29</v>
      </c>
      <c r="H7" s="2"/>
    </row>
    <row r="8" spans="1:8" x14ac:dyDescent="0.2">
      <c r="A8" s="2" t="s">
        <v>30</v>
      </c>
      <c r="B8" s="2" t="s">
        <v>9</v>
      </c>
      <c r="C8" s="2" t="s">
        <v>31</v>
      </c>
      <c r="D8" s="2" t="s">
        <v>26</v>
      </c>
      <c r="E8" s="2">
        <v>1</v>
      </c>
      <c r="F8" s="2"/>
      <c r="G8" s="2" t="s">
        <v>32</v>
      </c>
      <c r="H8" s="2"/>
    </row>
    <row r="9" spans="1:8" x14ac:dyDescent="0.2">
      <c r="A9" s="2" t="s">
        <v>33</v>
      </c>
      <c r="B9" s="2" t="s">
        <v>9</v>
      </c>
      <c r="C9" s="2" t="s">
        <v>34</v>
      </c>
      <c r="D9" s="2" t="s">
        <v>26</v>
      </c>
      <c r="E9" s="2">
        <v>1</v>
      </c>
      <c r="F9" s="2"/>
      <c r="G9" s="2" t="s">
        <v>35</v>
      </c>
      <c r="H9" s="2"/>
    </row>
    <row r="10" spans="1:8" x14ac:dyDescent="0.2">
      <c r="A10" s="2" t="s">
        <v>36</v>
      </c>
      <c r="B10" s="2" t="s">
        <v>9</v>
      </c>
      <c r="C10" s="2" t="s">
        <v>37</v>
      </c>
      <c r="D10" s="2" t="s">
        <v>26</v>
      </c>
      <c r="E10" s="2">
        <v>1</v>
      </c>
      <c r="F10" s="2"/>
      <c r="G10" s="2" t="s">
        <v>38</v>
      </c>
      <c r="H10" s="2"/>
    </row>
    <row r="11" spans="1:8" x14ac:dyDescent="0.2">
      <c r="A11" s="2" t="s">
        <v>39</v>
      </c>
      <c r="B11" s="2" t="s">
        <v>9</v>
      </c>
      <c r="C11" s="2" t="s">
        <v>40</v>
      </c>
      <c r="D11" s="2" t="s">
        <v>26</v>
      </c>
      <c r="E11" s="2">
        <v>1</v>
      </c>
      <c r="F11" s="2"/>
      <c r="G11" s="2" t="s">
        <v>41</v>
      </c>
      <c r="H11" s="2"/>
    </row>
    <row r="12" spans="1:8" x14ac:dyDescent="0.2">
      <c r="A12" s="2" t="s">
        <v>42</v>
      </c>
      <c r="B12" s="2" t="s">
        <v>9</v>
      </c>
      <c r="C12" s="2" t="s">
        <v>43</v>
      </c>
      <c r="D12" s="2" t="s">
        <v>26</v>
      </c>
      <c r="E12" s="2">
        <v>1</v>
      </c>
      <c r="F12" s="2"/>
      <c r="G12" s="2" t="s">
        <v>18</v>
      </c>
      <c r="H12" s="2"/>
    </row>
    <row r="13" spans="1:8" x14ac:dyDescent="0.2">
      <c r="A13" s="2" t="s">
        <v>44</v>
      </c>
      <c r="B13" s="2" t="s">
        <v>9</v>
      </c>
      <c r="C13" s="2" t="s">
        <v>45</v>
      </c>
      <c r="D13" s="2" t="s">
        <v>26</v>
      </c>
      <c r="E13" s="2">
        <v>1</v>
      </c>
      <c r="F13" s="2"/>
      <c r="G13" s="2" t="s">
        <v>46</v>
      </c>
      <c r="H13" s="2"/>
    </row>
    <row r="14" spans="1:8" x14ac:dyDescent="0.2">
      <c r="A14" s="2" t="s">
        <v>47</v>
      </c>
      <c r="B14" s="2" t="s">
        <v>9</v>
      </c>
      <c r="C14" s="2" t="s">
        <v>48</v>
      </c>
      <c r="D14" s="2" t="s">
        <v>26</v>
      </c>
      <c r="E14" s="2">
        <v>1</v>
      </c>
      <c r="F14" s="2"/>
      <c r="G14" s="2" t="s">
        <v>49</v>
      </c>
      <c r="H14" s="2"/>
    </row>
    <row r="15" spans="1:8" x14ac:dyDescent="0.2">
      <c r="A15" s="2" t="s">
        <v>50</v>
      </c>
      <c r="B15" s="2" t="s">
        <v>9</v>
      </c>
      <c r="C15" s="2" t="s">
        <v>51</v>
      </c>
      <c r="D15" s="2" t="s">
        <v>26</v>
      </c>
      <c r="E15" s="2">
        <v>1</v>
      </c>
      <c r="F15" s="2"/>
      <c r="G15" s="2" t="s">
        <v>52</v>
      </c>
      <c r="H15" s="2"/>
    </row>
    <row r="16" spans="1:8" x14ac:dyDescent="0.2">
      <c r="A16" s="2" t="s">
        <v>53</v>
      </c>
      <c r="B16" s="2" t="s">
        <v>9</v>
      </c>
      <c r="C16" s="2" t="s">
        <v>54</v>
      </c>
      <c r="D16" s="2" t="s">
        <v>26</v>
      </c>
      <c r="E16" s="2">
        <v>1</v>
      </c>
      <c r="F16" s="2"/>
      <c r="G16" s="2" t="s">
        <v>55</v>
      </c>
      <c r="H16" s="2"/>
    </row>
    <row r="17" spans="1:8" x14ac:dyDescent="0.2">
      <c r="A17" s="2" t="s">
        <v>56</v>
      </c>
      <c r="B17" s="2" t="s">
        <v>9</v>
      </c>
      <c r="C17" s="2" t="s">
        <v>56</v>
      </c>
      <c r="D17" s="2" t="s">
        <v>26</v>
      </c>
      <c r="E17" s="2">
        <v>1</v>
      </c>
      <c r="F17" s="2"/>
      <c r="G17" s="2" t="s">
        <v>22</v>
      </c>
      <c r="H17" s="2"/>
    </row>
    <row r="18" spans="1:8" x14ac:dyDescent="0.2">
      <c r="A18" s="2" t="s">
        <v>57</v>
      </c>
      <c r="B18" s="2" t="s">
        <v>9</v>
      </c>
      <c r="C18" s="2" t="s">
        <v>57</v>
      </c>
      <c r="D18" s="2" t="s">
        <v>26</v>
      </c>
      <c r="E18" s="2">
        <v>1</v>
      </c>
      <c r="F18" s="2"/>
      <c r="G18" s="2" t="s">
        <v>58</v>
      </c>
      <c r="H18" s="2"/>
    </row>
    <row r="19" spans="1:8" x14ac:dyDescent="0.2">
      <c r="A19" s="2" t="s">
        <v>59</v>
      </c>
      <c r="B19" s="2" t="s">
        <v>9</v>
      </c>
      <c r="C19" s="2" t="s">
        <v>59</v>
      </c>
      <c r="D19" s="2" t="s">
        <v>26</v>
      </c>
      <c r="E19" s="2">
        <v>1</v>
      </c>
      <c r="F19" s="2"/>
      <c r="G19" s="2" t="s">
        <v>58</v>
      </c>
      <c r="H19" s="2"/>
    </row>
    <row r="20" spans="1:8" x14ac:dyDescent="0.2">
      <c r="A20" s="2" t="s">
        <v>60</v>
      </c>
      <c r="B20" s="2" t="s">
        <v>61</v>
      </c>
      <c r="C20" s="2" t="s">
        <v>62</v>
      </c>
      <c r="D20" s="2" t="s">
        <v>26</v>
      </c>
      <c r="E20" s="2">
        <v>1</v>
      </c>
      <c r="F20" s="2"/>
      <c r="G20" s="2" t="s">
        <v>22</v>
      </c>
      <c r="H20" s="2" t="s">
        <v>63</v>
      </c>
    </row>
    <row r="21" spans="1:8" x14ac:dyDescent="0.2">
      <c r="A21" s="2" t="s">
        <v>64</v>
      </c>
      <c r="B21" s="2" t="s">
        <v>61</v>
      </c>
      <c r="C21" s="2" t="s">
        <v>65</v>
      </c>
      <c r="D21" s="2" t="s">
        <v>26</v>
      </c>
      <c r="E21" s="2">
        <v>1</v>
      </c>
      <c r="F21" s="2"/>
      <c r="G21" s="2" t="s">
        <v>22</v>
      </c>
      <c r="H21" s="2" t="s">
        <v>63</v>
      </c>
    </row>
    <row r="22" spans="1:8" x14ac:dyDescent="0.2">
      <c r="A22" s="2" t="s">
        <v>66</v>
      </c>
      <c r="B22" s="2" t="s">
        <v>9</v>
      </c>
      <c r="C22" s="2" t="s">
        <v>67</v>
      </c>
      <c r="D22" s="2" t="s">
        <v>26</v>
      </c>
      <c r="E22" s="2">
        <v>1</v>
      </c>
      <c r="F22" s="2"/>
      <c r="G22" s="2" t="s">
        <v>15</v>
      </c>
      <c r="H22" s="26" t="s">
        <v>753</v>
      </c>
    </row>
    <row r="23" spans="1:8" x14ac:dyDescent="0.2">
      <c r="A23" s="2" t="s">
        <v>68</v>
      </c>
      <c r="B23" s="2" t="s">
        <v>9</v>
      </c>
      <c r="C23" s="2" t="s">
        <v>69</v>
      </c>
      <c r="D23" s="2" t="s">
        <v>26</v>
      </c>
      <c r="E23" s="2">
        <v>1</v>
      </c>
      <c r="F23" s="2"/>
      <c r="G23" s="2" t="s">
        <v>15</v>
      </c>
      <c r="H23" s="2" t="s">
        <v>70</v>
      </c>
    </row>
    <row r="24" spans="1:8" x14ac:dyDescent="0.2">
      <c r="A24" s="2" t="s">
        <v>71</v>
      </c>
      <c r="B24" s="2" t="s">
        <v>9</v>
      </c>
      <c r="C24" s="2" t="s">
        <v>72</v>
      </c>
      <c r="D24" s="2" t="s">
        <v>73</v>
      </c>
      <c r="E24" s="2">
        <v>1</v>
      </c>
      <c r="F24" s="2">
        <v>60</v>
      </c>
      <c r="G24" s="2" t="s">
        <v>74</v>
      </c>
      <c r="H24" s="4" t="s">
        <v>754</v>
      </c>
    </row>
    <row r="25" spans="1:8" x14ac:dyDescent="0.2">
      <c r="A25" s="2" t="s">
        <v>75</v>
      </c>
      <c r="B25" s="2" t="s">
        <v>9</v>
      </c>
      <c r="C25" s="2" t="s">
        <v>76</v>
      </c>
      <c r="D25" s="2" t="s">
        <v>73</v>
      </c>
      <c r="E25" s="2">
        <v>1</v>
      </c>
      <c r="F25" s="2">
        <v>60</v>
      </c>
      <c r="G25" s="2" t="s">
        <v>77</v>
      </c>
      <c r="H25" s="2"/>
    </row>
    <row r="26" spans="1:8" x14ac:dyDescent="0.2">
      <c r="A26" s="2" t="s">
        <v>78</v>
      </c>
      <c r="B26" s="2" t="s">
        <v>61</v>
      </c>
      <c r="C26" s="2" t="s">
        <v>76</v>
      </c>
      <c r="D26" s="2" t="s">
        <v>73</v>
      </c>
      <c r="E26" s="2">
        <v>1</v>
      </c>
      <c r="F26" s="2">
        <v>60</v>
      </c>
      <c r="G26" s="2" t="s">
        <v>77</v>
      </c>
      <c r="H26" s="2" t="s">
        <v>79</v>
      </c>
    </row>
    <row r="27" spans="1:8" x14ac:dyDescent="0.2">
      <c r="A27" s="2" t="s">
        <v>80</v>
      </c>
      <c r="B27" s="2" t="s">
        <v>61</v>
      </c>
      <c r="C27" s="2" t="s">
        <v>81</v>
      </c>
      <c r="D27" s="2" t="s">
        <v>73</v>
      </c>
      <c r="E27" s="2">
        <v>1</v>
      </c>
      <c r="F27" s="2">
        <v>60</v>
      </c>
      <c r="G27" s="2" t="s">
        <v>82</v>
      </c>
      <c r="H27" s="2"/>
    </row>
    <row r="28" spans="1:8" x14ac:dyDescent="0.2">
      <c r="A28" s="2" t="s">
        <v>83</v>
      </c>
      <c r="B28" s="2" t="s">
        <v>9</v>
      </c>
      <c r="C28" s="2" t="s">
        <v>84</v>
      </c>
      <c r="D28" s="2" t="s">
        <v>73</v>
      </c>
      <c r="E28" s="2">
        <v>1</v>
      </c>
      <c r="F28" s="2">
        <v>60</v>
      </c>
      <c r="G28" s="2" t="s">
        <v>85</v>
      </c>
      <c r="H28" s="2" t="s">
        <v>86</v>
      </c>
    </row>
    <row r="29" spans="1:8" x14ac:dyDescent="0.2">
      <c r="A29" s="2" t="s">
        <v>87</v>
      </c>
      <c r="B29" s="2" t="s">
        <v>9</v>
      </c>
      <c r="C29" s="2" t="s">
        <v>88</v>
      </c>
      <c r="D29" s="2" t="s">
        <v>73</v>
      </c>
      <c r="E29" s="2">
        <v>1</v>
      </c>
      <c r="F29" s="2">
        <v>60</v>
      </c>
      <c r="G29" s="2" t="s">
        <v>85</v>
      </c>
      <c r="H29" s="2" t="s">
        <v>89</v>
      </c>
    </row>
    <row r="30" spans="1:8" x14ac:dyDescent="0.2">
      <c r="A30" s="2" t="s">
        <v>90</v>
      </c>
      <c r="B30" s="2" t="s">
        <v>91</v>
      </c>
      <c r="C30" s="2" t="s">
        <v>92</v>
      </c>
      <c r="D30" s="2" t="s">
        <v>73</v>
      </c>
      <c r="E30" s="2">
        <v>1</v>
      </c>
      <c r="F30" s="2">
        <v>45</v>
      </c>
      <c r="G30" s="2" t="s">
        <v>85</v>
      </c>
      <c r="H30" s="2"/>
    </row>
    <row r="31" spans="1:8" x14ac:dyDescent="0.2">
      <c r="A31" s="2" t="s">
        <v>93</v>
      </c>
      <c r="B31" s="2" t="s">
        <v>9</v>
      </c>
      <c r="C31" s="2" t="s">
        <v>94</v>
      </c>
      <c r="D31" s="2" t="s">
        <v>73</v>
      </c>
      <c r="E31" s="2">
        <v>1</v>
      </c>
      <c r="F31" s="2">
        <v>60</v>
      </c>
      <c r="G31" s="2" t="s">
        <v>95</v>
      </c>
      <c r="H31" s="2"/>
    </row>
    <row r="32" spans="1:8" x14ac:dyDescent="0.2">
      <c r="A32" s="2" t="s">
        <v>96</v>
      </c>
      <c r="B32" s="2" t="s">
        <v>97</v>
      </c>
      <c r="C32" s="2" t="s">
        <v>98</v>
      </c>
      <c r="D32" s="2" t="s">
        <v>99</v>
      </c>
      <c r="E32" s="2">
        <v>1</v>
      </c>
      <c r="F32" s="2"/>
      <c r="G32" s="2" t="s">
        <v>100</v>
      </c>
      <c r="H32" s="2"/>
    </row>
    <row r="33" spans="1:8" ht="16" x14ac:dyDescent="0.2">
      <c r="A33" s="11" t="s">
        <v>765</v>
      </c>
      <c r="B33" s="2" t="s">
        <v>97</v>
      </c>
      <c r="C33" s="2" t="s">
        <v>101</v>
      </c>
      <c r="D33" s="2" t="s">
        <v>99</v>
      </c>
      <c r="E33" s="2">
        <v>1</v>
      </c>
      <c r="F33" s="2"/>
      <c r="G33" s="2" t="s">
        <v>102</v>
      </c>
      <c r="H33" s="2"/>
    </row>
    <row r="34" spans="1:8" ht="16" x14ac:dyDescent="0.2">
      <c r="A34" s="11" t="s">
        <v>764</v>
      </c>
      <c r="B34" s="2" t="s">
        <v>97</v>
      </c>
      <c r="C34" s="27" t="s">
        <v>766</v>
      </c>
      <c r="D34" s="2" t="s">
        <v>99</v>
      </c>
      <c r="E34" s="2">
        <v>1</v>
      </c>
      <c r="F34" s="2"/>
      <c r="G34" s="2" t="s">
        <v>104</v>
      </c>
      <c r="H34" s="26" t="s">
        <v>755</v>
      </c>
    </row>
    <row r="35" spans="1:8" x14ac:dyDescent="0.2">
      <c r="A35" s="2" t="s">
        <v>105</v>
      </c>
      <c r="B35" s="2" t="s">
        <v>97</v>
      </c>
      <c r="C35" s="2" t="s">
        <v>106</v>
      </c>
      <c r="D35" s="2" t="s">
        <v>99</v>
      </c>
      <c r="E35" s="2">
        <v>1</v>
      </c>
      <c r="F35" s="2"/>
      <c r="G35" s="2" t="s">
        <v>107</v>
      </c>
      <c r="H35" s="2"/>
    </row>
    <row r="36" spans="1:8" x14ac:dyDescent="0.2">
      <c r="A36" s="2" t="s">
        <v>108</v>
      </c>
      <c r="B36" s="2" t="s">
        <v>9</v>
      </c>
      <c r="C36" s="2" t="s">
        <v>109</v>
      </c>
      <c r="D36" s="2" t="s">
        <v>110</v>
      </c>
      <c r="E36" s="2">
        <v>1</v>
      </c>
      <c r="F36" s="2"/>
      <c r="G36" s="2" t="s">
        <v>111</v>
      </c>
      <c r="H36" s="2" t="s">
        <v>112</v>
      </c>
    </row>
    <row r="37" spans="1:8" x14ac:dyDescent="0.2">
      <c r="A37" s="2" t="s">
        <v>113</v>
      </c>
      <c r="B37" s="2" t="s">
        <v>9</v>
      </c>
      <c r="C37" s="2" t="s">
        <v>114</v>
      </c>
      <c r="D37" s="2" t="s">
        <v>110</v>
      </c>
      <c r="E37" s="2">
        <v>1</v>
      </c>
      <c r="F37" s="2"/>
      <c r="G37" s="2" t="s">
        <v>115</v>
      </c>
      <c r="H37" s="2" t="s">
        <v>116</v>
      </c>
    </row>
    <row r="38" spans="1:8" x14ac:dyDescent="0.2">
      <c r="A38" s="2" t="s">
        <v>117</v>
      </c>
      <c r="B38" s="2" t="s">
        <v>9</v>
      </c>
      <c r="C38" s="2" t="s">
        <v>118</v>
      </c>
      <c r="D38" s="2" t="s">
        <v>110</v>
      </c>
      <c r="E38" s="2">
        <v>1</v>
      </c>
      <c r="F38" s="2"/>
      <c r="G38" s="2" t="s">
        <v>119</v>
      </c>
      <c r="H38" s="2"/>
    </row>
    <row r="39" spans="1:8" x14ac:dyDescent="0.2">
      <c r="A39" s="2" t="s">
        <v>120</v>
      </c>
      <c r="B39" s="2" t="s">
        <v>121</v>
      </c>
      <c r="C39" s="2" t="s">
        <v>122</v>
      </c>
      <c r="D39" s="2" t="s">
        <v>110</v>
      </c>
      <c r="E39" s="2">
        <v>1</v>
      </c>
      <c r="F39" s="2"/>
      <c r="G39" s="2" t="s">
        <v>123</v>
      </c>
      <c r="H39" s="3" t="s">
        <v>124</v>
      </c>
    </row>
    <row r="40" spans="1:8" x14ac:dyDescent="0.2">
      <c r="A40" s="2" t="s">
        <v>125</v>
      </c>
      <c r="B40" s="2" t="s">
        <v>126</v>
      </c>
      <c r="C40" s="2" t="s">
        <v>127</v>
      </c>
      <c r="D40" s="2" t="s">
        <v>128</v>
      </c>
      <c r="E40" s="2">
        <v>1</v>
      </c>
      <c r="F40" s="2"/>
      <c r="G40" s="2" t="s">
        <v>129</v>
      </c>
      <c r="H40" s="2"/>
    </row>
    <row r="41" spans="1:8" x14ac:dyDescent="0.2">
      <c r="A41" s="2" t="s">
        <v>130</v>
      </c>
      <c r="B41" s="2" t="s">
        <v>126</v>
      </c>
      <c r="C41" s="2" t="s">
        <v>131</v>
      </c>
      <c r="D41" s="2" t="s">
        <v>128</v>
      </c>
      <c r="E41" s="2">
        <v>1</v>
      </c>
      <c r="F41" s="2"/>
      <c r="G41" s="2" t="s">
        <v>129</v>
      </c>
      <c r="H41" s="2"/>
    </row>
    <row r="42" spans="1:8" x14ac:dyDescent="0.2">
      <c r="A42" s="2" t="s">
        <v>132</v>
      </c>
      <c r="B42" s="2" t="s">
        <v>126</v>
      </c>
      <c r="C42" s="2" t="s">
        <v>133</v>
      </c>
      <c r="D42" s="2" t="s">
        <v>128</v>
      </c>
      <c r="E42" s="2">
        <v>1</v>
      </c>
      <c r="F42" s="2"/>
      <c r="G42" s="2" t="s">
        <v>134</v>
      </c>
      <c r="H42" s="2"/>
    </row>
    <row r="43" spans="1:8" x14ac:dyDescent="0.2">
      <c r="A43" s="2" t="s">
        <v>135</v>
      </c>
      <c r="B43" s="2" t="s">
        <v>126</v>
      </c>
      <c r="C43" s="2" t="s">
        <v>136</v>
      </c>
      <c r="D43" s="2" t="s">
        <v>128</v>
      </c>
      <c r="E43" s="2">
        <v>1</v>
      </c>
      <c r="F43" s="2">
        <v>500</v>
      </c>
      <c r="G43" s="2" t="s">
        <v>137</v>
      </c>
      <c r="H43" s="2" t="s">
        <v>138</v>
      </c>
    </row>
    <row r="44" spans="1:8" x14ac:dyDescent="0.2">
      <c r="A44" s="2" t="s">
        <v>139</v>
      </c>
      <c r="B44" s="2" t="s">
        <v>126</v>
      </c>
      <c r="C44" s="2" t="s">
        <v>140</v>
      </c>
      <c r="D44" s="2" t="s">
        <v>128</v>
      </c>
      <c r="E44" s="2">
        <v>1</v>
      </c>
      <c r="F44" s="2">
        <v>500</v>
      </c>
      <c r="G44" s="2" t="s">
        <v>137</v>
      </c>
      <c r="H44" s="2" t="s">
        <v>141</v>
      </c>
    </row>
    <row r="45" spans="1:8" x14ac:dyDescent="0.2">
      <c r="A45" s="2" t="s">
        <v>142</v>
      </c>
      <c r="B45" s="2" t="s">
        <v>126</v>
      </c>
      <c r="C45" s="2" t="s">
        <v>143</v>
      </c>
      <c r="D45" s="2" t="s">
        <v>128</v>
      </c>
      <c r="E45" s="2">
        <v>1</v>
      </c>
      <c r="F45" s="2">
        <v>500</v>
      </c>
      <c r="G45" s="2" t="s">
        <v>144</v>
      </c>
      <c r="H45" s="2" t="s">
        <v>141</v>
      </c>
    </row>
    <row r="46" spans="1:8" x14ac:dyDescent="0.2">
      <c r="A46" s="2" t="s">
        <v>145</v>
      </c>
      <c r="B46" s="2" t="s">
        <v>126</v>
      </c>
      <c r="C46" s="2" t="s">
        <v>146</v>
      </c>
      <c r="D46" s="2" t="s">
        <v>73</v>
      </c>
      <c r="E46" s="2">
        <v>1</v>
      </c>
      <c r="F46" s="2">
        <v>300</v>
      </c>
      <c r="G46" s="2" t="s">
        <v>147</v>
      </c>
      <c r="H46" s="2"/>
    </row>
    <row r="47" spans="1:8" x14ac:dyDescent="0.2">
      <c r="A47" s="2" t="s">
        <v>148</v>
      </c>
      <c r="B47" s="2" t="s">
        <v>126</v>
      </c>
      <c r="C47" s="2" t="s">
        <v>149</v>
      </c>
      <c r="D47" s="2" t="s">
        <v>73</v>
      </c>
      <c r="E47" s="2">
        <v>1</v>
      </c>
      <c r="F47" s="2">
        <v>300</v>
      </c>
      <c r="G47" s="2" t="s">
        <v>147</v>
      </c>
      <c r="H47" s="2"/>
    </row>
    <row r="48" spans="1:8" x14ac:dyDescent="0.2">
      <c r="A48" s="2" t="s">
        <v>150</v>
      </c>
      <c r="B48" s="2" t="s">
        <v>91</v>
      </c>
      <c r="C48" s="2" t="s">
        <v>149</v>
      </c>
      <c r="D48" s="2" t="s">
        <v>73</v>
      </c>
      <c r="E48" s="2">
        <v>1</v>
      </c>
      <c r="F48" s="2">
        <v>300</v>
      </c>
      <c r="G48" s="2" t="s">
        <v>147</v>
      </c>
      <c r="H48" s="2" t="s">
        <v>151</v>
      </c>
    </row>
    <row r="49" spans="1:8" x14ac:dyDescent="0.2">
      <c r="A49" s="2" t="s">
        <v>152</v>
      </c>
      <c r="B49" s="2" t="s">
        <v>91</v>
      </c>
      <c r="C49" s="2" t="s">
        <v>149</v>
      </c>
      <c r="D49" s="2" t="s">
        <v>73</v>
      </c>
      <c r="E49" s="2">
        <v>1</v>
      </c>
      <c r="F49" s="2">
        <v>300</v>
      </c>
      <c r="G49" s="2" t="s">
        <v>147</v>
      </c>
      <c r="H49" s="2" t="s">
        <v>151</v>
      </c>
    </row>
    <row r="50" spans="1:8" x14ac:dyDescent="0.2">
      <c r="A50" s="2" t="s">
        <v>153</v>
      </c>
      <c r="B50" s="2" t="s">
        <v>91</v>
      </c>
      <c r="C50" s="2" t="s">
        <v>154</v>
      </c>
      <c r="D50" s="2" t="s">
        <v>128</v>
      </c>
      <c r="E50" s="2">
        <v>1</v>
      </c>
      <c r="F50" s="2"/>
      <c r="G50" s="2" t="s">
        <v>155</v>
      </c>
      <c r="H50" s="2"/>
    </row>
    <row r="51" spans="1:8" x14ac:dyDescent="0.2">
      <c r="A51" s="27" t="s">
        <v>156</v>
      </c>
      <c r="B51" s="2" t="s">
        <v>91</v>
      </c>
      <c r="C51" s="2" t="s">
        <v>157</v>
      </c>
      <c r="D51" s="2" t="s">
        <v>128</v>
      </c>
      <c r="E51" s="2">
        <v>1</v>
      </c>
      <c r="F51" s="2"/>
      <c r="G51" s="2" t="s">
        <v>158</v>
      </c>
      <c r="H51" s="2"/>
    </row>
    <row r="52" spans="1:8" x14ac:dyDescent="0.2">
      <c r="A52" s="2" t="s">
        <v>159</v>
      </c>
      <c r="B52" s="2" t="s">
        <v>91</v>
      </c>
      <c r="C52" s="2" t="s">
        <v>160</v>
      </c>
      <c r="D52" s="2" t="s">
        <v>73</v>
      </c>
      <c r="E52" s="2">
        <v>1</v>
      </c>
      <c r="F52" s="2">
        <v>200</v>
      </c>
      <c r="G52" s="2" t="s">
        <v>161</v>
      </c>
      <c r="H52" s="2"/>
    </row>
    <row r="53" spans="1:8" x14ac:dyDescent="0.2">
      <c r="A53" s="2" t="s">
        <v>162</v>
      </c>
      <c r="B53" s="2" t="s">
        <v>163</v>
      </c>
      <c r="C53" s="2" t="s">
        <v>164</v>
      </c>
      <c r="D53" s="2" t="s">
        <v>26</v>
      </c>
      <c r="E53" s="2">
        <v>1</v>
      </c>
      <c r="F53" s="2"/>
      <c r="G53" s="2" t="s">
        <v>165</v>
      </c>
      <c r="H53" s="2"/>
    </row>
    <row r="54" spans="1:8" x14ac:dyDescent="0.2">
      <c r="A54" s="2" t="s">
        <v>166</v>
      </c>
      <c r="B54" s="2" t="s">
        <v>163</v>
      </c>
      <c r="C54" s="2" t="s">
        <v>167</v>
      </c>
      <c r="D54" s="2" t="s">
        <v>26</v>
      </c>
      <c r="E54" s="2">
        <v>1</v>
      </c>
      <c r="F54" s="2"/>
      <c r="G54" s="2" t="s">
        <v>168</v>
      </c>
      <c r="H54" s="2"/>
    </row>
    <row r="55" spans="1:8" x14ac:dyDescent="0.2">
      <c r="A55" s="2" t="s">
        <v>169</v>
      </c>
      <c r="B55" s="2" t="s">
        <v>163</v>
      </c>
      <c r="C55" s="2" t="s">
        <v>170</v>
      </c>
      <c r="D55" s="2" t="s">
        <v>26</v>
      </c>
      <c r="E55" s="2">
        <v>1</v>
      </c>
      <c r="F55" s="2"/>
      <c r="G55" s="2" t="s">
        <v>171</v>
      </c>
      <c r="H55" s="2"/>
    </row>
    <row r="56" spans="1:8" x14ac:dyDescent="0.2">
      <c r="A56" s="2" t="s">
        <v>172</v>
      </c>
      <c r="B56" s="2" t="s">
        <v>163</v>
      </c>
      <c r="C56" s="2" t="s">
        <v>173</v>
      </c>
      <c r="D56" s="2" t="s">
        <v>26</v>
      </c>
      <c r="E56" s="2">
        <v>1</v>
      </c>
      <c r="F56" s="2"/>
      <c r="G56" s="2" t="s">
        <v>174</v>
      </c>
      <c r="H56" s="2"/>
    </row>
    <row r="57" spans="1:8" x14ac:dyDescent="0.2">
      <c r="A57" s="2" t="s">
        <v>175</v>
      </c>
      <c r="B57" s="2" t="s">
        <v>163</v>
      </c>
      <c r="C57" s="2" t="s">
        <v>176</v>
      </c>
      <c r="D57" s="2" t="s">
        <v>26</v>
      </c>
      <c r="E57" s="2">
        <v>1</v>
      </c>
      <c r="F57" s="2"/>
      <c r="G57" s="2" t="s">
        <v>177</v>
      </c>
      <c r="H57" s="2"/>
    </row>
    <row r="58" spans="1:8" x14ac:dyDescent="0.2">
      <c r="A58" s="2" t="s">
        <v>178</v>
      </c>
      <c r="B58" s="2" t="s">
        <v>163</v>
      </c>
      <c r="C58" s="2" t="s">
        <v>179</v>
      </c>
      <c r="D58" s="2" t="s">
        <v>26</v>
      </c>
      <c r="E58" s="2">
        <v>1</v>
      </c>
      <c r="F58" s="2"/>
      <c r="G58" s="2" t="s">
        <v>180</v>
      </c>
      <c r="H58" s="2"/>
    </row>
    <row r="59" spans="1:8" x14ac:dyDescent="0.2">
      <c r="A59" s="2" t="s">
        <v>181</v>
      </c>
      <c r="B59" s="2" t="s">
        <v>182</v>
      </c>
      <c r="C59" s="2" t="s">
        <v>183</v>
      </c>
      <c r="D59" s="2" t="s">
        <v>26</v>
      </c>
      <c r="E59" s="2">
        <v>1</v>
      </c>
      <c r="F59" s="2"/>
      <c r="G59" s="2" t="s">
        <v>184</v>
      </c>
      <c r="H59" s="2"/>
    </row>
    <row r="60" spans="1:8" x14ac:dyDescent="0.2">
      <c r="A60" s="2" t="s">
        <v>185</v>
      </c>
      <c r="B60" s="2" t="s">
        <v>182</v>
      </c>
      <c r="C60" s="2" t="s">
        <v>186</v>
      </c>
      <c r="D60" s="2" t="s">
        <v>26</v>
      </c>
      <c r="E60" s="2">
        <v>1</v>
      </c>
      <c r="F60" s="2"/>
      <c r="G60" s="2" t="s">
        <v>187</v>
      </c>
      <c r="H60" s="2"/>
    </row>
    <row r="61" spans="1:8" x14ac:dyDescent="0.2">
      <c r="A61" s="2" t="s">
        <v>188</v>
      </c>
      <c r="B61" s="2" t="s">
        <v>182</v>
      </c>
      <c r="C61" s="2" t="s">
        <v>189</v>
      </c>
      <c r="D61" s="2" t="s">
        <v>26</v>
      </c>
      <c r="E61" s="2">
        <v>1</v>
      </c>
      <c r="F61" s="2"/>
      <c r="G61" s="2" t="s">
        <v>190</v>
      </c>
      <c r="H61" s="2"/>
    </row>
    <row r="62" spans="1:8" x14ac:dyDescent="0.2">
      <c r="A62" s="2" t="s">
        <v>191</v>
      </c>
      <c r="B62" s="2" t="s">
        <v>182</v>
      </c>
      <c r="C62" s="2" t="s">
        <v>192</v>
      </c>
      <c r="D62" s="2" t="s">
        <v>26</v>
      </c>
      <c r="E62" s="2">
        <v>1</v>
      </c>
      <c r="F62" s="2"/>
      <c r="G62" s="2" t="s">
        <v>193</v>
      </c>
      <c r="H62" s="2"/>
    </row>
    <row r="63" spans="1:8" x14ac:dyDescent="0.2">
      <c r="A63" s="2" t="s">
        <v>194</v>
      </c>
      <c r="B63" s="2" t="s">
        <v>182</v>
      </c>
      <c r="C63" s="2" t="s">
        <v>195</v>
      </c>
      <c r="D63" s="2" t="s">
        <v>26</v>
      </c>
      <c r="E63" s="2">
        <v>1</v>
      </c>
      <c r="F63" s="2"/>
      <c r="G63" s="2" t="s">
        <v>196</v>
      </c>
      <c r="H63" s="2"/>
    </row>
    <row r="64" spans="1:8" x14ac:dyDescent="0.2">
      <c r="A64" s="2" t="s">
        <v>197</v>
      </c>
      <c r="B64" s="2" t="s">
        <v>182</v>
      </c>
      <c r="C64" s="2" t="s">
        <v>198</v>
      </c>
      <c r="D64" s="2" t="s">
        <v>26</v>
      </c>
      <c r="E64" s="2">
        <v>1</v>
      </c>
      <c r="F64" s="2"/>
      <c r="G64" s="2" t="s">
        <v>199</v>
      </c>
      <c r="H64" s="2"/>
    </row>
    <row r="65" spans="1:8" x14ac:dyDescent="0.2">
      <c r="A65" s="2" t="s">
        <v>200</v>
      </c>
      <c r="B65" s="2" t="s">
        <v>201</v>
      </c>
      <c r="C65" s="2" t="s">
        <v>202</v>
      </c>
      <c r="D65" s="2" t="s">
        <v>26</v>
      </c>
      <c r="E65" s="2">
        <v>1</v>
      </c>
      <c r="F65" s="2"/>
      <c r="G65" s="2" t="s">
        <v>203</v>
      </c>
      <c r="H65" s="2"/>
    </row>
    <row r="66" spans="1:8" x14ac:dyDescent="0.2">
      <c r="A66" s="2" t="s">
        <v>204</v>
      </c>
      <c r="B66" s="2" t="s">
        <v>201</v>
      </c>
      <c r="C66" s="2" t="s">
        <v>205</v>
      </c>
      <c r="D66" s="2" t="s">
        <v>26</v>
      </c>
      <c r="E66" s="2">
        <v>1</v>
      </c>
      <c r="F66" s="2"/>
      <c r="G66" s="2" t="s">
        <v>206</v>
      </c>
      <c r="H66" s="2"/>
    </row>
    <row r="67" spans="1:8" x14ac:dyDescent="0.2">
      <c r="A67" s="2" t="s">
        <v>207</v>
      </c>
      <c r="B67" s="2" t="s">
        <v>201</v>
      </c>
      <c r="C67" s="2" t="s">
        <v>208</v>
      </c>
      <c r="D67" s="2" t="s">
        <v>26</v>
      </c>
      <c r="E67" s="2">
        <v>1</v>
      </c>
      <c r="F67" s="2"/>
      <c r="G67" s="2" t="s">
        <v>209</v>
      </c>
      <c r="H67" s="2"/>
    </row>
    <row r="68" spans="1:8" x14ac:dyDescent="0.2">
      <c r="A68" s="2" t="s">
        <v>210</v>
      </c>
      <c r="B68" s="2" t="s">
        <v>201</v>
      </c>
      <c r="C68" s="2" t="s">
        <v>211</v>
      </c>
      <c r="D68" s="2" t="s">
        <v>26</v>
      </c>
      <c r="E68" s="2">
        <v>1</v>
      </c>
      <c r="F68" s="2"/>
      <c r="G68" s="2" t="s">
        <v>212</v>
      </c>
      <c r="H68" s="2"/>
    </row>
    <row r="69" spans="1:8" x14ac:dyDescent="0.2">
      <c r="A69" s="2" t="s">
        <v>213</v>
      </c>
      <c r="B69" s="2" t="s">
        <v>201</v>
      </c>
      <c r="C69" s="2" t="s">
        <v>214</v>
      </c>
      <c r="D69" s="2" t="s">
        <v>26</v>
      </c>
      <c r="E69" s="2">
        <v>1</v>
      </c>
      <c r="F69" s="2"/>
      <c r="G69" s="2" t="s">
        <v>215</v>
      </c>
      <c r="H69" s="2"/>
    </row>
    <row r="70" spans="1:8" x14ac:dyDescent="0.2">
      <c r="A70" s="2" t="s">
        <v>216</v>
      </c>
      <c r="B70" s="2" t="s">
        <v>217</v>
      </c>
      <c r="C70" s="2" t="s">
        <v>218</v>
      </c>
      <c r="D70" s="2" t="s">
        <v>26</v>
      </c>
      <c r="E70" s="2">
        <v>1</v>
      </c>
      <c r="F70" s="2"/>
      <c r="G70" s="2" t="s">
        <v>219</v>
      </c>
      <c r="H70" s="2"/>
    </row>
    <row r="71" spans="1:8" x14ac:dyDescent="0.2">
      <c r="A71" s="2" t="s">
        <v>220</v>
      </c>
      <c r="B71" s="2" t="s">
        <v>91</v>
      </c>
      <c r="C71" s="2" t="s">
        <v>221</v>
      </c>
      <c r="D71" s="2" t="s">
        <v>222</v>
      </c>
      <c r="E71" s="2">
        <v>1</v>
      </c>
      <c r="F71" s="2"/>
      <c r="G71" s="2" t="s">
        <v>223</v>
      </c>
      <c r="H71" s="3" t="s">
        <v>224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24"/>
  <sheetViews>
    <sheetView topLeftCell="A26" zoomScale="132" zoomScaleNormal="132" workbookViewId="0">
      <selection activeCell="C45" sqref="C45"/>
    </sheetView>
  </sheetViews>
  <sheetFormatPr baseColWidth="10" defaultColWidth="10.6640625" defaultRowHeight="15" x14ac:dyDescent="0.2"/>
  <cols>
    <col min="1" max="1" width="29.1640625" customWidth="1"/>
    <col min="2" max="2" width="40.83203125" customWidth="1"/>
    <col min="3" max="3" width="32.1640625" customWidth="1"/>
    <col min="4" max="4" width="22.6640625" customWidth="1"/>
  </cols>
  <sheetData>
    <row r="1" spans="1:4" ht="15.75" customHeight="1" x14ac:dyDescent="0.2">
      <c r="A1" s="7" t="s">
        <v>682</v>
      </c>
      <c r="B1" s="7" t="s">
        <v>683</v>
      </c>
      <c r="C1" s="7" t="s">
        <v>684</v>
      </c>
      <c r="D1" s="7" t="s">
        <v>685</v>
      </c>
    </row>
    <row r="2" spans="1:4" ht="15.75" customHeight="1" x14ac:dyDescent="0.2">
      <c r="A2" s="9" t="s">
        <v>233</v>
      </c>
      <c r="B2" s="9" t="s">
        <v>234</v>
      </c>
      <c r="C2" s="16">
        <v>5228.7299999999996</v>
      </c>
      <c r="D2" t="s">
        <v>235</v>
      </c>
    </row>
    <row r="3" spans="1:4" ht="15.75" customHeight="1" x14ac:dyDescent="0.2">
      <c r="A3" s="11" t="s">
        <v>233</v>
      </c>
      <c r="B3" s="11" t="s">
        <v>765</v>
      </c>
      <c r="C3" s="16">
        <v>4550</v>
      </c>
      <c r="D3" t="s">
        <v>238</v>
      </c>
    </row>
    <row r="4" spans="1:4" ht="15.75" customHeight="1" x14ac:dyDescent="0.2">
      <c r="A4" s="11" t="s">
        <v>233</v>
      </c>
      <c r="B4" s="11" t="s">
        <v>764</v>
      </c>
      <c r="C4" s="16">
        <v>5833</v>
      </c>
      <c r="D4" t="s">
        <v>250</v>
      </c>
    </row>
    <row r="5" spans="1:4" ht="15.75" customHeight="1" x14ac:dyDescent="0.2">
      <c r="A5" s="9" t="s">
        <v>233</v>
      </c>
      <c r="B5" s="9" t="s">
        <v>768</v>
      </c>
      <c r="C5" s="16">
        <v>3500</v>
      </c>
      <c r="D5" t="s">
        <v>238</v>
      </c>
    </row>
    <row r="6" spans="1:4" ht="15.75" customHeight="1" x14ac:dyDescent="0.2">
      <c r="A6" s="9" t="s">
        <v>233</v>
      </c>
      <c r="B6" s="9" t="s">
        <v>767</v>
      </c>
      <c r="C6" s="16">
        <v>6851</v>
      </c>
      <c r="D6" t="s">
        <v>235</v>
      </c>
    </row>
    <row r="7" spans="1:4" ht="15.75" customHeight="1" x14ac:dyDescent="0.2">
      <c r="A7" s="11" t="s">
        <v>233</v>
      </c>
      <c r="B7" s="11" t="s">
        <v>240</v>
      </c>
      <c r="C7" s="16">
        <v>7035</v>
      </c>
      <c r="D7" t="s">
        <v>241</v>
      </c>
    </row>
    <row r="8" spans="1:4" ht="15.75" customHeight="1" x14ac:dyDescent="0.2">
      <c r="A8" s="9" t="s">
        <v>233</v>
      </c>
      <c r="B8" s="9" t="s">
        <v>242</v>
      </c>
      <c r="C8" s="16">
        <v>4326</v>
      </c>
      <c r="D8" t="s">
        <v>235</v>
      </c>
    </row>
    <row r="9" spans="1:4" ht="15.75" customHeight="1" x14ac:dyDescent="0.2">
      <c r="A9" s="11" t="s">
        <v>233</v>
      </c>
      <c r="B9" s="11" t="s">
        <v>243</v>
      </c>
      <c r="C9" s="16">
        <v>4500</v>
      </c>
      <c r="D9" t="s">
        <v>235</v>
      </c>
    </row>
    <row r="10" spans="1:4" ht="15.75" customHeight="1" x14ac:dyDescent="0.2">
      <c r="A10" s="9" t="s">
        <v>244</v>
      </c>
      <c r="B10" s="9" t="s">
        <v>245</v>
      </c>
      <c r="C10" s="16">
        <v>14050</v>
      </c>
      <c r="D10" t="s">
        <v>246</v>
      </c>
    </row>
    <row r="11" spans="1:4" ht="15.75" customHeight="1" x14ac:dyDescent="0.2">
      <c r="A11" s="11" t="s">
        <v>244</v>
      </c>
      <c r="B11" s="11" t="s">
        <v>48</v>
      </c>
      <c r="C11" s="16">
        <v>43200</v>
      </c>
      <c r="D11" t="s">
        <v>246</v>
      </c>
    </row>
    <row r="12" spans="1:4" ht="15.75" customHeight="1" x14ac:dyDescent="0.2">
      <c r="A12" s="9" t="s">
        <v>244</v>
      </c>
      <c r="B12" s="9" t="s">
        <v>247</v>
      </c>
      <c r="C12" s="16">
        <v>7000</v>
      </c>
      <c r="D12" t="s">
        <v>248</v>
      </c>
    </row>
    <row r="13" spans="1:4" ht="15.75" customHeight="1" x14ac:dyDescent="0.2">
      <c r="A13" s="11" t="s">
        <v>244</v>
      </c>
      <c r="B13" s="11" t="s">
        <v>249</v>
      </c>
      <c r="C13" s="16">
        <v>8000</v>
      </c>
      <c r="D13" t="s">
        <v>250</v>
      </c>
    </row>
    <row r="14" spans="1:4" ht="15.75" customHeight="1" x14ac:dyDescent="0.2">
      <c r="A14" s="9" t="s">
        <v>244</v>
      </c>
      <c r="B14" s="9" t="s">
        <v>54</v>
      </c>
      <c r="C14" s="16">
        <v>9999</v>
      </c>
      <c r="D14" t="s">
        <v>246</v>
      </c>
    </row>
    <row r="15" spans="1:4" ht="15.75" customHeight="1" x14ac:dyDescent="0.2">
      <c r="A15" s="11" t="s">
        <v>244</v>
      </c>
      <c r="B15" s="11" t="s">
        <v>251</v>
      </c>
      <c r="C15" s="16">
        <v>11000</v>
      </c>
      <c r="D15" t="s">
        <v>246</v>
      </c>
    </row>
    <row r="16" spans="1:4" ht="15.75" customHeight="1" x14ac:dyDescent="0.2">
      <c r="A16" s="9" t="s">
        <v>244</v>
      </c>
      <c r="B16" s="9" t="s">
        <v>252</v>
      </c>
      <c r="C16" s="16">
        <v>23595</v>
      </c>
      <c r="D16" t="s">
        <v>246</v>
      </c>
    </row>
    <row r="17" spans="1:4" ht="15.75" customHeight="1" x14ac:dyDescent="0.2">
      <c r="A17" s="11" t="s">
        <v>244</v>
      </c>
      <c r="B17" s="11" t="s">
        <v>253</v>
      </c>
      <c r="C17" s="16">
        <v>8990</v>
      </c>
      <c r="D17" t="s">
        <v>248</v>
      </c>
    </row>
    <row r="18" spans="1:4" ht="15.75" customHeight="1" x14ac:dyDescent="0.2">
      <c r="A18" s="11" t="s">
        <v>244</v>
      </c>
      <c r="B18" s="11" t="s">
        <v>71</v>
      </c>
      <c r="C18" s="16">
        <v>33000</v>
      </c>
      <c r="D18" t="s">
        <v>248</v>
      </c>
    </row>
    <row r="19" spans="1:4" ht="15.75" customHeight="1" x14ac:dyDescent="0.2">
      <c r="A19" s="11" t="s">
        <v>244</v>
      </c>
      <c r="B19" s="11" t="s">
        <v>751</v>
      </c>
      <c r="C19" s="16">
        <v>32900</v>
      </c>
      <c r="D19" t="s">
        <v>246</v>
      </c>
    </row>
    <row r="20" spans="1:4" ht="15.75" customHeight="1" x14ac:dyDescent="0.2">
      <c r="A20" s="11" t="s">
        <v>244</v>
      </c>
      <c r="B20" s="11" t="s">
        <v>75</v>
      </c>
      <c r="C20" s="16">
        <v>16000</v>
      </c>
      <c r="D20" t="s">
        <v>248</v>
      </c>
    </row>
    <row r="21" spans="1:4" ht="15.75" customHeight="1" x14ac:dyDescent="0.2">
      <c r="A21" s="11" t="s">
        <v>244</v>
      </c>
      <c r="B21" s="11" t="s">
        <v>254</v>
      </c>
      <c r="C21" s="16">
        <v>28500</v>
      </c>
      <c r="D21" t="s">
        <v>248</v>
      </c>
    </row>
    <row r="22" spans="1:4" ht="15.75" customHeight="1" x14ac:dyDescent="0.2">
      <c r="A22" s="9" t="s">
        <v>244</v>
      </c>
      <c r="B22" s="9" t="s">
        <v>255</v>
      </c>
      <c r="C22" s="16">
        <v>35000</v>
      </c>
      <c r="D22" t="s">
        <v>248</v>
      </c>
    </row>
    <row r="23" spans="1:4" ht="15.75" customHeight="1" x14ac:dyDescent="0.2">
      <c r="A23" s="11" t="s">
        <v>244</v>
      </c>
      <c r="B23" s="11" t="s">
        <v>256</v>
      </c>
      <c r="C23" s="16">
        <v>22000</v>
      </c>
      <c r="D23" t="s">
        <v>248</v>
      </c>
    </row>
    <row r="24" spans="1:4" ht="15.75" customHeight="1" x14ac:dyDescent="0.2">
      <c r="A24" s="9" t="s">
        <v>244</v>
      </c>
      <c r="B24" s="9" t="s">
        <v>257</v>
      </c>
      <c r="C24" s="16">
        <v>15000</v>
      </c>
      <c r="D24" t="s">
        <v>246</v>
      </c>
    </row>
    <row r="25" spans="1:4" ht="15.75" customHeight="1" x14ac:dyDescent="0.2">
      <c r="A25" s="11" t="s">
        <v>244</v>
      </c>
      <c r="B25" s="11" t="s">
        <v>258</v>
      </c>
      <c r="C25" s="16">
        <v>40000</v>
      </c>
      <c r="D25" t="s">
        <v>246</v>
      </c>
    </row>
    <row r="26" spans="1:4" ht="15.75" customHeight="1" x14ac:dyDescent="0.2">
      <c r="A26" s="9" t="s">
        <v>244</v>
      </c>
      <c r="B26" s="9" t="s">
        <v>259</v>
      </c>
      <c r="C26" s="16">
        <v>40000</v>
      </c>
      <c r="D26" t="s">
        <v>246</v>
      </c>
    </row>
    <row r="27" spans="1:4" ht="15.75" customHeight="1" x14ac:dyDescent="0.2">
      <c r="A27" s="11" t="s">
        <v>244</v>
      </c>
      <c r="B27" s="11" t="s">
        <v>260</v>
      </c>
      <c r="C27" s="16">
        <v>12380</v>
      </c>
      <c r="D27" t="s">
        <v>261</v>
      </c>
    </row>
    <row r="28" spans="1:4" ht="15.75" customHeight="1" x14ac:dyDescent="0.2">
      <c r="A28" s="11" t="s">
        <v>244</v>
      </c>
      <c r="B28" s="11" t="s">
        <v>262</v>
      </c>
      <c r="C28" s="16">
        <v>17424</v>
      </c>
      <c r="D28" t="s">
        <v>261</v>
      </c>
    </row>
    <row r="29" spans="1:4" ht="15.75" customHeight="1" x14ac:dyDescent="0.2">
      <c r="A29" s="11"/>
      <c r="B29" s="11"/>
      <c r="C29" s="16"/>
    </row>
    <row r="30" spans="1:4" ht="15.75" customHeight="1" x14ac:dyDescent="0.2">
      <c r="A30" s="9" t="s">
        <v>244</v>
      </c>
      <c r="B30" s="9" t="s">
        <v>263</v>
      </c>
      <c r="C30" s="16">
        <v>8800</v>
      </c>
      <c r="D30" t="s">
        <v>264</v>
      </c>
    </row>
    <row r="31" spans="1:4" ht="15.75" customHeight="1" x14ac:dyDescent="0.2">
      <c r="A31" s="9" t="s">
        <v>244</v>
      </c>
      <c r="B31" s="9" t="s">
        <v>265</v>
      </c>
      <c r="C31" s="16">
        <v>23400</v>
      </c>
      <c r="D31" t="s">
        <v>264</v>
      </c>
    </row>
    <row r="32" spans="1:4" ht="15.75" customHeight="1" x14ac:dyDescent="0.2">
      <c r="A32" s="9" t="s">
        <v>244</v>
      </c>
      <c r="B32" s="9" t="s">
        <v>266</v>
      </c>
      <c r="C32" s="16">
        <v>10000</v>
      </c>
      <c r="D32" t="s">
        <v>264</v>
      </c>
    </row>
    <row r="33" spans="1:4" ht="15.75" customHeight="1" x14ac:dyDescent="0.2">
      <c r="A33" s="11" t="s">
        <v>244</v>
      </c>
      <c r="B33" s="11" t="s">
        <v>267</v>
      </c>
      <c r="C33" s="16">
        <v>6500</v>
      </c>
      <c r="D33" t="s">
        <v>246</v>
      </c>
    </row>
    <row r="34" spans="1:4" ht="15.75" customHeight="1" x14ac:dyDescent="0.2">
      <c r="A34" s="9" t="s">
        <v>268</v>
      </c>
      <c r="B34" s="9" t="s">
        <v>269</v>
      </c>
      <c r="C34" s="16">
        <v>4219</v>
      </c>
      <c r="D34" t="s">
        <v>270</v>
      </c>
    </row>
    <row r="35" spans="1:4" ht="15.75" customHeight="1" x14ac:dyDescent="0.2">
      <c r="A35" s="11" t="s">
        <v>268</v>
      </c>
      <c r="B35" s="11" t="s">
        <v>271</v>
      </c>
      <c r="C35" s="16">
        <v>6000</v>
      </c>
      <c r="D35" t="s">
        <v>235</v>
      </c>
    </row>
    <row r="36" spans="1:4" ht="15.75" customHeight="1" x14ac:dyDescent="0.2">
      <c r="A36" s="9" t="s">
        <v>268</v>
      </c>
      <c r="B36" s="9" t="s">
        <v>272</v>
      </c>
      <c r="C36" s="16">
        <v>6000</v>
      </c>
      <c r="D36" t="s">
        <v>235</v>
      </c>
    </row>
    <row r="37" spans="1:4" ht="15.75" customHeight="1" x14ac:dyDescent="0.2">
      <c r="A37" s="11" t="s">
        <v>268</v>
      </c>
      <c r="B37" s="11" t="s">
        <v>273</v>
      </c>
      <c r="C37" s="16">
        <v>6000</v>
      </c>
      <c r="D37" t="s">
        <v>274</v>
      </c>
    </row>
    <row r="38" spans="1:4" ht="15.75" customHeight="1" x14ac:dyDescent="0.2">
      <c r="A38" s="9" t="s">
        <v>276</v>
      </c>
      <c r="B38" s="9" t="s">
        <v>277</v>
      </c>
      <c r="C38" s="16">
        <v>4891</v>
      </c>
      <c r="D38" t="s">
        <v>278</v>
      </c>
    </row>
    <row r="39" spans="1:4" ht="15.75" customHeight="1" x14ac:dyDescent="0.2">
      <c r="A39" s="11" t="s">
        <v>276</v>
      </c>
      <c r="B39" s="11" t="s">
        <v>143</v>
      </c>
      <c r="C39" s="16">
        <v>3536</v>
      </c>
      <c r="D39" t="s">
        <v>279</v>
      </c>
    </row>
    <row r="40" spans="1:4" ht="15.75" customHeight="1" x14ac:dyDescent="0.2">
      <c r="A40" s="9" t="s">
        <v>276</v>
      </c>
      <c r="B40" s="9" t="s">
        <v>280</v>
      </c>
      <c r="C40" s="16">
        <v>4742</v>
      </c>
      <c r="D40" t="s">
        <v>281</v>
      </c>
    </row>
    <row r="41" spans="1:4" ht="15.75" customHeight="1" x14ac:dyDescent="0.2">
      <c r="A41" s="11" t="s">
        <v>276</v>
      </c>
      <c r="B41" s="11" t="s">
        <v>282</v>
      </c>
      <c r="C41" s="16">
        <v>3296</v>
      </c>
      <c r="D41" t="s">
        <v>283</v>
      </c>
    </row>
    <row r="42" spans="1:4" ht="15.75" customHeight="1" x14ac:dyDescent="0.2">
      <c r="A42" s="9" t="s">
        <v>276</v>
      </c>
      <c r="B42" s="9" t="s">
        <v>284</v>
      </c>
      <c r="C42" s="16">
        <v>2300</v>
      </c>
      <c r="D42" t="s">
        <v>285</v>
      </c>
    </row>
    <row r="43" spans="1:4" ht="15.75" customHeight="1" x14ac:dyDescent="0.2">
      <c r="A43" s="9" t="s">
        <v>276</v>
      </c>
      <c r="B43" s="9" t="s">
        <v>286</v>
      </c>
      <c r="C43" s="16">
        <v>4750</v>
      </c>
      <c r="D43" t="s">
        <v>279</v>
      </c>
    </row>
    <row r="44" spans="1:4" ht="15.75" customHeight="1" x14ac:dyDescent="0.2">
      <c r="A44" s="11" t="s">
        <v>276</v>
      </c>
      <c r="B44" s="11" t="s">
        <v>157</v>
      </c>
      <c r="C44" s="16">
        <v>3550</v>
      </c>
      <c r="D44" t="s">
        <v>287</v>
      </c>
    </row>
    <row r="45" spans="1:4" ht="15.75" customHeight="1" x14ac:dyDescent="0.2">
      <c r="A45" s="9" t="s">
        <v>276</v>
      </c>
      <c r="B45" s="9" t="s">
        <v>154</v>
      </c>
      <c r="C45" s="16">
        <v>3050</v>
      </c>
      <c r="D45" t="s">
        <v>288</v>
      </c>
    </row>
    <row r="46" spans="1:4" ht="15.75" customHeight="1" x14ac:dyDescent="0.2">
      <c r="A46" s="11" t="s">
        <v>276</v>
      </c>
      <c r="B46" s="11" t="s">
        <v>289</v>
      </c>
      <c r="C46" s="16">
        <v>5390</v>
      </c>
      <c r="D46" t="s">
        <v>290</v>
      </c>
    </row>
    <row r="47" spans="1:4" ht="15.75" customHeight="1" x14ac:dyDescent="0.2">
      <c r="A47" s="9" t="s">
        <v>276</v>
      </c>
      <c r="B47" s="9" t="s">
        <v>291</v>
      </c>
      <c r="C47" s="16">
        <v>1290</v>
      </c>
      <c r="D47" t="s">
        <v>279</v>
      </c>
    </row>
    <row r="48" spans="1:4" ht="15.75" customHeight="1" x14ac:dyDescent="0.2">
      <c r="A48" s="11" t="s">
        <v>276</v>
      </c>
      <c r="B48" s="11" t="s">
        <v>133</v>
      </c>
      <c r="C48" s="16">
        <v>2300</v>
      </c>
      <c r="D48" t="s">
        <v>285</v>
      </c>
    </row>
    <row r="49" spans="1:4" ht="15.75" customHeight="1" x14ac:dyDescent="0.2">
      <c r="A49" s="11" t="s">
        <v>276</v>
      </c>
      <c r="B49" s="11" t="s">
        <v>292</v>
      </c>
      <c r="C49" s="16">
        <v>4742</v>
      </c>
      <c r="D49" t="s">
        <v>290</v>
      </c>
    </row>
    <row r="50" spans="1:4" ht="15.75" customHeight="1" x14ac:dyDescent="0.2">
      <c r="A50" s="9" t="s">
        <v>293</v>
      </c>
      <c r="B50" s="9" t="s">
        <v>294</v>
      </c>
      <c r="C50" s="16">
        <v>35800</v>
      </c>
      <c r="D50" t="s">
        <v>295</v>
      </c>
    </row>
    <row r="51" spans="1:4" ht="15.75" customHeight="1" x14ac:dyDescent="0.2">
      <c r="A51" s="9" t="s">
        <v>293</v>
      </c>
      <c r="B51" s="9" t="s">
        <v>296</v>
      </c>
      <c r="C51" s="16">
        <v>18150</v>
      </c>
      <c r="D51" t="s">
        <v>295</v>
      </c>
    </row>
    <row r="52" spans="1:4" ht="15.75" customHeight="1" x14ac:dyDescent="0.2">
      <c r="A52" s="11" t="s">
        <v>293</v>
      </c>
      <c r="B52" s="11" t="s">
        <v>297</v>
      </c>
      <c r="C52" s="16">
        <v>5999</v>
      </c>
      <c r="D52" t="s">
        <v>298</v>
      </c>
    </row>
    <row r="53" spans="1:4" ht="15.75" customHeight="1" x14ac:dyDescent="0.2">
      <c r="A53" s="9" t="s">
        <v>299</v>
      </c>
      <c r="B53" s="9" t="s">
        <v>300</v>
      </c>
      <c r="C53" s="16">
        <v>3099</v>
      </c>
      <c r="D53" t="s">
        <v>301</v>
      </c>
    </row>
    <row r="54" spans="1:4" ht="15.75" customHeight="1" x14ac:dyDescent="0.2">
      <c r="A54" s="11" t="s">
        <v>299</v>
      </c>
      <c r="B54" s="11" t="s">
        <v>302</v>
      </c>
      <c r="C54" s="16">
        <v>21365</v>
      </c>
      <c r="D54" t="s">
        <v>303</v>
      </c>
    </row>
    <row r="55" spans="1:4" ht="15.75" customHeight="1" x14ac:dyDescent="0.2">
      <c r="A55" s="9" t="s">
        <v>299</v>
      </c>
      <c r="B55" s="9" t="s">
        <v>304</v>
      </c>
      <c r="C55" s="16">
        <v>4800</v>
      </c>
      <c r="D55" t="s">
        <v>305</v>
      </c>
    </row>
    <row r="56" spans="1:4" ht="15.75" customHeight="1" x14ac:dyDescent="0.2">
      <c r="A56" s="11" t="s">
        <v>299</v>
      </c>
      <c r="B56" s="11" t="s">
        <v>306</v>
      </c>
      <c r="C56" s="16">
        <v>6300</v>
      </c>
      <c r="D56" t="s">
        <v>307</v>
      </c>
    </row>
    <row r="57" spans="1:4" ht="15.75" customHeight="1" x14ac:dyDescent="0.2">
      <c r="A57" s="9" t="s">
        <v>299</v>
      </c>
      <c r="B57" s="9" t="s">
        <v>308</v>
      </c>
      <c r="C57" s="16">
        <v>1319</v>
      </c>
      <c r="D57" t="s">
        <v>309</v>
      </c>
    </row>
    <row r="58" spans="1:4" ht="15.75" customHeight="1" x14ac:dyDescent="0.2">
      <c r="A58" s="11" t="s">
        <v>299</v>
      </c>
      <c r="B58" s="11" t="s">
        <v>310</v>
      </c>
      <c r="C58" s="16">
        <v>1150</v>
      </c>
      <c r="D58" t="s">
        <v>309</v>
      </c>
    </row>
    <row r="59" spans="1:4" ht="15.75" customHeight="1" x14ac:dyDescent="0.2">
      <c r="A59" s="9" t="s">
        <v>299</v>
      </c>
      <c r="B59" s="9" t="s">
        <v>311</v>
      </c>
      <c r="C59" s="16">
        <v>10000</v>
      </c>
      <c r="D59" t="s">
        <v>309</v>
      </c>
    </row>
    <row r="60" spans="1:4" ht="15.75" customHeight="1" x14ac:dyDescent="0.2">
      <c r="A60" s="11" t="s">
        <v>299</v>
      </c>
      <c r="B60" s="11" t="s">
        <v>312</v>
      </c>
      <c r="C60" s="16">
        <v>6000</v>
      </c>
      <c r="D60" t="s">
        <v>313</v>
      </c>
    </row>
    <row r="61" spans="1:4" ht="15.75" customHeight="1" x14ac:dyDescent="0.2">
      <c r="A61" s="9" t="s">
        <v>299</v>
      </c>
      <c r="B61" s="9" t="s">
        <v>314</v>
      </c>
      <c r="C61" s="16">
        <v>5999</v>
      </c>
      <c r="D61" t="s">
        <v>315</v>
      </c>
    </row>
    <row r="62" spans="1:4" ht="15.75" customHeight="1" x14ac:dyDescent="0.2">
      <c r="A62" s="11" t="s">
        <v>299</v>
      </c>
      <c r="B62" s="11" t="s">
        <v>317</v>
      </c>
      <c r="C62" s="16">
        <v>8000</v>
      </c>
      <c r="D62" t="s">
        <v>318</v>
      </c>
    </row>
    <row r="63" spans="1:4" ht="15.75" customHeight="1" x14ac:dyDescent="0.2">
      <c r="A63" s="9" t="s">
        <v>299</v>
      </c>
      <c r="B63" s="9" t="s">
        <v>319</v>
      </c>
      <c r="C63" s="16">
        <v>4399</v>
      </c>
      <c r="D63" t="s">
        <v>320</v>
      </c>
    </row>
    <row r="64" spans="1:4" ht="15.75" customHeight="1" x14ac:dyDescent="0.2">
      <c r="A64" s="11" t="s">
        <v>299</v>
      </c>
      <c r="B64" s="11" t="s">
        <v>321</v>
      </c>
      <c r="C64" s="16">
        <v>1750</v>
      </c>
      <c r="D64" t="s">
        <v>322</v>
      </c>
    </row>
    <row r="65" spans="1:4" ht="15.75" customHeight="1" x14ac:dyDescent="0.2">
      <c r="A65" s="9" t="s">
        <v>299</v>
      </c>
      <c r="B65" s="9" t="s">
        <v>323</v>
      </c>
      <c r="C65" s="16">
        <v>4299</v>
      </c>
      <c r="D65" t="s">
        <v>324</v>
      </c>
    </row>
    <row r="66" spans="1:4" ht="15.75" customHeight="1" x14ac:dyDescent="0.2">
      <c r="A66" s="11" t="s">
        <v>299</v>
      </c>
      <c r="B66" s="11" t="s">
        <v>325</v>
      </c>
      <c r="C66" s="16">
        <v>1279</v>
      </c>
      <c r="D66" t="s">
        <v>326</v>
      </c>
    </row>
    <row r="67" spans="1:4" ht="15.75" customHeight="1" x14ac:dyDescent="0.2">
      <c r="A67" s="9" t="s">
        <v>299</v>
      </c>
      <c r="B67" s="9" t="s">
        <v>327</v>
      </c>
      <c r="C67" s="16">
        <v>14500</v>
      </c>
      <c r="D67" t="s">
        <v>309</v>
      </c>
    </row>
    <row r="68" spans="1:4" ht="15.75" customHeight="1" x14ac:dyDescent="0.2">
      <c r="A68" s="11" t="s">
        <v>299</v>
      </c>
      <c r="B68" s="11" t="s">
        <v>328</v>
      </c>
      <c r="C68" s="16">
        <v>5699</v>
      </c>
      <c r="D68" t="s">
        <v>329</v>
      </c>
    </row>
    <row r="69" spans="1:4" ht="15.75" customHeight="1" x14ac:dyDescent="0.2">
      <c r="A69" s="9" t="s">
        <v>299</v>
      </c>
      <c r="B69" s="9" t="s">
        <v>330</v>
      </c>
      <c r="C69" s="16">
        <v>1899</v>
      </c>
      <c r="D69" t="s">
        <v>320</v>
      </c>
    </row>
    <row r="70" spans="1:4" ht="15.75" customHeight="1" x14ac:dyDescent="0.2">
      <c r="A70" s="11" t="s">
        <v>299</v>
      </c>
      <c r="B70" s="11" t="s">
        <v>331</v>
      </c>
      <c r="C70" s="16">
        <v>1500</v>
      </c>
      <c r="D70" t="s">
        <v>332</v>
      </c>
    </row>
    <row r="71" spans="1:4" ht="15.75" customHeight="1" x14ac:dyDescent="0.2">
      <c r="A71" s="9" t="s">
        <v>299</v>
      </c>
      <c r="B71" s="9" t="s">
        <v>333</v>
      </c>
      <c r="C71" s="16">
        <v>54530</v>
      </c>
      <c r="D71" t="s">
        <v>334</v>
      </c>
    </row>
    <row r="72" spans="1:4" ht="15.75" customHeight="1" x14ac:dyDescent="0.2">
      <c r="A72" s="11" t="s">
        <v>299</v>
      </c>
      <c r="B72" s="11" t="s">
        <v>335</v>
      </c>
      <c r="C72" s="16">
        <v>20000</v>
      </c>
      <c r="D72" t="s">
        <v>336</v>
      </c>
    </row>
    <row r="73" spans="1:4" ht="15.75" customHeight="1" x14ac:dyDescent="0.2">
      <c r="A73" s="9" t="s">
        <v>299</v>
      </c>
      <c r="B73" s="9" t="s">
        <v>337</v>
      </c>
      <c r="C73" s="16">
        <v>7300</v>
      </c>
      <c r="D73" t="s">
        <v>309</v>
      </c>
    </row>
    <row r="74" spans="1:4" ht="15.75" customHeight="1" x14ac:dyDescent="0.2">
      <c r="A74" s="11" t="s">
        <v>338</v>
      </c>
      <c r="B74" s="11" t="s">
        <v>339</v>
      </c>
      <c r="C74" s="16">
        <v>20000</v>
      </c>
      <c r="D74" t="s">
        <v>309</v>
      </c>
    </row>
    <row r="75" spans="1:4" ht="15.75" customHeight="1" x14ac:dyDescent="0.2">
      <c r="A75" s="9" t="s">
        <v>338</v>
      </c>
      <c r="B75" s="9" t="s">
        <v>340</v>
      </c>
      <c r="C75" s="16">
        <v>25900</v>
      </c>
      <c r="D75" t="s">
        <v>309</v>
      </c>
    </row>
    <row r="76" spans="1:4" ht="15.75" customHeight="1" x14ac:dyDescent="0.2">
      <c r="A76" s="11" t="s">
        <v>338</v>
      </c>
      <c r="B76" s="11" t="s">
        <v>341</v>
      </c>
      <c r="C76" s="16">
        <v>20000</v>
      </c>
      <c r="D76" t="s">
        <v>342</v>
      </c>
    </row>
    <row r="77" spans="1:4" ht="15.75" customHeight="1" x14ac:dyDescent="0.2">
      <c r="A77" s="9" t="s">
        <v>338</v>
      </c>
      <c r="B77" s="9" t="s">
        <v>343</v>
      </c>
      <c r="C77" s="16">
        <v>10279</v>
      </c>
      <c r="D77" t="s">
        <v>322</v>
      </c>
    </row>
    <row r="78" spans="1:4" ht="15.75" customHeight="1" x14ac:dyDescent="0.2">
      <c r="A78" s="11" t="s">
        <v>338</v>
      </c>
      <c r="B78" s="11" t="s">
        <v>344</v>
      </c>
      <c r="C78" s="16">
        <v>2999</v>
      </c>
      <c r="D78" t="s">
        <v>309</v>
      </c>
    </row>
    <row r="79" spans="1:4" ht="15.75" customHeight="1" x14ac:dyDescent="0.2">
      <c r="A79" s="9" t="s">
        <v>338</v>
      </c>
      <c r="B79" s="9" t="s">
        <v>345</v>
      </c>
      <c r="C79" s="16">
        <v>57400</v>
      </c>
      <c r="D79" t="s">
        <v>309</v>
      </c>
    </row>
    <row r="80" spans="1:4" ht="15.75" customHeight="1" x14ac:dyDescent="0.2">
      <c r="A80" s="11" t="s">
        <v>338</v>
      </c>
      <c r="B80" s="11" t="s">
        <v>346</v>
      </c>
      <c r="C80" s="16">
        <v>25000</v>
      </c>
      <c r="D80" t="s">
        <v>309</v>
      </c>
    </row>
    <row r="81" spans="1:4" ht="15.75" customHeight="1" x14ac:dyDescent="0.2">
      <c r="A81" s="9" t="s">
        <v>338</v>
      </c>
      <c r="B81" s="9" t="s">
        <v>347</v>
      </c>
      <c r="C81" s="16">
        <v>13990</v>
      </c>
      <c r="D81" t="s">
        <v>309</v>
      </c>
    </row>
    <row r="82" spans="1:4" ht="15.75" customHeight="1" x14ac:dyDescent="0.2">
      <c r="A82" s="11" t="s">
        <v>348</v>
      </c>
      <c r="B82" s="11" t="s">
        <v>349</v>
      </c>
      <c r="C82" s="16">
        <v>14500</v>
      </c>
      <c r="D82" t="s">
        <v>309</v>
      </c>
    </row>
    <row r="83" spans="1:4" ht="15.75" customHeight="1" x14ac:dyDescent="0.2">
      <c r="A83" s="9" t="s">
        <v>348</v>
      </c>
      <c r="B83" s="9" t="s">
        <v>350</v>
      </c>
      <c r="C83" s="16">
        <v>70850</v>
      </c>
      <c r="D83" t="s">
        <v>351</v>
      </c>
    </row>
    <row r="84" spans="1:4" ht="15.75" customHeight="1" x14ac:dyDescent="0.2">
      <c r="A84" s="11" t="s">
        <v>348</v>
      </c>
      <c r="B84" s="11" t="s">
        <v>352</v>
      </c>
      <c r="C84" s="16">
        <v>50000</v>
      </c>
      <c r="D84" t="s">
        <v>353</v>
      </c>
    </row>
    <row r="85" spans="1:4" ht="15.75" customHeight="1" x14ac:dyDescent="0.2">
      <c r="A85" s="9" t="s">
        <v>348</v>
      </c>
      <c r="B85" s="9" t="s">
        <v>354</v>
      </c>
      <c r="C85" s="16">
        <v>16300</v>
      </c>
      <c r="D85" t="s">
        <v>309</v>
      </c>
    </row>
    <row r="86" spans="1:4" ht="15.75" customHeight="1" x14ac:dyDescent="0.2">
      <c r="A86" s="11" t="s">
        <v>355</v>
      </c>
      <c r="B86" s="11" t="s">
        <v>356</v>
      </c>
      <c r="C86" s="16">
        <v>25900</v>
      </c>
      <c r="D86" t="s">
        <v>309</v>
      </c>
    </row>
    <row r="87" spans="1:4" ht="15.75" customHeight="1" x14ac:dyDescent="0.2">
      <c r="A87" s="9" t="s">
        <v>355</v>
      </c>
      <c r="B87" s="9" t="s">
        <v>357</v>
      </c>
      <c r="C87" s="16">
        <v>8469.9</v>
      </c>
      <c r="D87" t="s">
        <v>309</v>
      </c>
    </row>
    <row r="88" spans="1:4" ht="15.75" customHeight="1" x14ac:dyDescent="0.2">
      <c r="A88" s="11" t="s">
        <v>355</v>
      </c>
      <c r="B88" s="11" t="s">
        <v>358</v>
      </c>
      <c r="C88" s="16">
        <v>3999</v>
      </c>
      <c r="D88" t="s">
        <v>359</v>
      </c>
    </row>
    <row r="89" spans="1:4" ht="15.75" customHeight="1" x14ac:dyDescent="0.2">
      <c r="A89" s="9" t="s">
        <v>355</v>
      </c>
      <c r="B89" s="9" t="s">
        <v>360</v>
      </c>
      <c r="C89" s="16">
        <v>72000</v>
      </c>
      <c r="D89" t="s">
        <v>361</v>
      </c>
    </row>
    <row r="90" spans="1:4" ht="15.75" customHeight="1" x14ac:dyDescent="0.2">
      <c r="A90" s="11" t="s">
        <v>355</v>
      </c>
      <c r="B90" s="11" t="s">
        <v>362</v>
      </c>
      <c r="C90" s="16">
        <v>14890</v>
      </c>
      <c r="D90" t="s">
        <v>309</v>
      </c>
    </row>
    <row r="91" spans="1:4" ht="15.75" customHeight="1" x14ac:dyDescent="0.2">
      <c r="A91" s="9" t="s">
        <v>355</v>
      </c>
      <c r="B91" s="9" t="s">
        <v>363</v>
      </c>
      <c r="C91" s="16">
        <v>33000</v>
      </c>
      <c r="D91" t="s">
        <v>309</v>
      </c>
    </row>
    <row r="92" spans="1:4" ht="15.75" customHeight="1" x14ac:dyDescent="0.2">
      <c r="A92" s="11" t="s">
        <v>355</v>
      </c>
      <c r="B92" s="11" t="s">
        <v>364</v>
      </c>
      <c r="C92" s="16">
        <v>21900</v>
      </c>
      <c r="D92" t="s">
        <v>309</v>
      </c>
    </row>
    <row r="93" spans="1:4" ht="15.75" customHeight="1" x14ac:dyDescent="0.2">
      <c r="A93" s="9" t="s">
        <v>355</v>
      </c>
      <c r="B93" s="9" t="s">
        <v>365</v>
      </c>
      <c r="C93" s="16">
        <v>70000</v>
      </c>
      <c r="D93" t="s">
        <v>366</v>
      </c>
    </row>
    <row r="94" spans="1:4" ht="15.75" customHeight="1" x14ac:dyDescent="0.2">
      <c r="A94" s="11" t="s">
        <v>367</v>
      </c>
      <c r="B94" s="11" t="s">
        <v>368</v>
      </c>
      <c r="C94" s="16">
        <v>5000</v>
      </c>
      <c r="D94" t="s">
        <v>309</v>
      </c>
    </row>
    <row r="95" spans="1:4" ht="15.75" customHeight="1" x14ac:dyDescent="0.2">
      <c r="A95" s="9" t="s">
        <v>367</v>
      </c>
      <c r="B95" s="9" t="s">
        <v>369</v>
      </c>
      <c r="C95" s="16">
        <v>2300</v>
      </c>
      <c r="D95" t="s">
        <v>370</v>
      </c>
    </row>
    <row r="96" spans="1:4" ht="15.75" customHeight="1" x14ac:dyDescent="0.2">
      <c r="A96" s="11" t="s">
        <v>367</v>
      </c>
      <c r="B96" s="11" t="s">
        <v>371</v>
      </c>
      <c r="C96" s="16">
        <v>7000</v>
      </c>
      <c r="D96" t="s">
        <v>309</v>
      </c>
    </row>
    <row r="97" spans="1:4" ht="15.75" customHeight="1" x14ac:dyDescent="0.2">
      <c r="A97" s="9" t="s">
        <v>367</v>
      </c>
      <c r="B97" s="9" t="s">
        <v>372</v>
      </c>
      <c r="C97" s="16">
        <v>7000</v>
      </c>
      <c r="D97" t="s">
        <v>309</v>
      </c>
    </row>
    <row r="98" spans="1:4" ht="15.75" customHeight="1" x14ac:dyDescent="0.2">
      <c r="A98" s="11" t="s">
        <v>367</v>
      </c>
      <c r="B98" s="11" t="s">
        <v>373</v>
      </c>
      <c r="C98" s="16">
        <v>4409</v>
      </c>
      <c r="D98" t="s">
        <v>374</v>
      </c>
    </row>
    <row r="99" spans="1:4" ht="15.75" customHeight="1" x14ac:dyDescent="0.2">
      <c r="A99" s="9" t="s">
        <v>367</v>
      </c>
      <c r="B99" s="9" t="s">
        <v>375</v>
      </c>
      <c r="C99" s="16">
        <v>2000</v>
      </c>
      <c r="D99" t="s">
        <v>376</v>
      </c>
    </row>
    <row r="100" spans="1:4" ht="15.75" customHeight="1" x14ac:dyDescent="0.2">
      <c r="A100" s="11" t="s">
        <v>367</v>
      </c>
      <c r="B100" s="11" t="s">
        <v>377</v>
      </c>
      <c r="C100" s="16">
        <v>4100</v>
      </c>
      <c r="D100" t="s">
        <v>378</v>
      </c>
    </row>
    <row r="101" spans="1:4" ht="15.75" customHeight="1" x14ac:dyDescent="0.2">
      <c r="A101" s="9" t="s">
        <v>379</v>
      </c>
      <c r="B101" s="9" t="s">
        <v>380</v>
      </c>
      <c r="C101" s="16">
        <v>4500</v>
      </c>
      <c r="D101" t="s">
        <v>381</v>
      </c>
    </row>
    <row r="102" spans="1:4" ht="15.75" customHeight="1" x14ac:dyDescent="0.2">
      <c r="A102" s="11" t="s">
        <v>379</v>
      </c>
      <c r="B102" s="11" t="s">
        <v>382</v>
      </c>
      <c r="C102" s="16">
        <v>21000</v>
      </c>
      <c r="D102" t="s">
        <v>309</v>
      </c>
    </row>
    <row r="103" spans="1:4" ht="15.75" customHeight="1" x14ac:dyDescent="0.2">
      <c r="A103" s="9" t="s">
        <v>379</v>
      </c>
      <c r="B103" s="9" t="s">
        <v>383</v>
      </c>
      <c r="C103" s="16">
        <v>30000</v>
      </c>
      <c r="D103" t="s">
        <v>309</v>
      </c>
    </row>
    <row r="104" spans="1:4" ht="15.75" customHeight="1" x14ac:dyDescent="0.2">
      <c r="A104" s="11" t="s">
        <v>379</v>
      </c>
      <c r="B104" s="11" t="s">
        <v>384</v>
      </c>
      <c r="C104" s="16">
        <v>11000</v>
      </c>
      <c r="D104" t="s">
        <v>385</v>
      </c>
    </row>
    <row r="105" spans="1:4" ht="15.75" customHeight="1" x14ac:dyDescent="0.2">
      <c r="A105" s="9" t="s">
        <v>386</v>
      </c>
      <c r="B105" s="9" t="s">
        <v>387</v>
      </c>
      <c r="C105" s="16">
        <v>18000</v>
      </c>
      <c r="D105" t="s">
        <v>309</v>
      </c>
    </row>
    <row r="106" spans="1:4" ht="15.75" customHeight="1" x14ac:dyDescent="0.2">
      <c r="A106" s="11" t="s">
        <v>386</v>
      </c>
      <c r="B106" s="11" t="s">
        <v>388</v>
      </c>
      <c r="C106" s="16">
        <v>5199</v>
      </c>
      <c r="D106" t="s">
        <v>309</v>
      </c>
    </row>
    <row r="107" spans="1:4" ht="15.75" customHeight="1" x14ac:dyDescent="0.2">
      <c r="A107" s="9" t="s">
        <v>386</v>
      </c>
      <c r="B107" s="9" t="s">
        <v>389</v>
      </c>
      <c r="C107" s="16">
        <v>2199</v>
      </c>
      <c r="D107" t="s">
        <v>309</v>
      </c>
    </row>
    <row r="108" spans="1:4" ht="15.75" customHeight="1" x14ac:dyDescent="0.2">
      <c r="A108" s="11" t="s">
        <v>386</v>
      </c>
      <c r="B108" s="11" t="s">
        <v>390</v>
      </c>
      <c r="C108" s="16">
        <v>2199</v>
      </c>
      <c r="D108" t="s">
        <v>309</v>
      </c>
    </row>
    <row r="109" spans="1:4" ht="15.75" customHeight="1" x14ac:dyDescent="0.2">
      <c r="A109" s="9" t="s">
        <v>386</v>
      </c>
      <c r="B109" s="9" t="s">
        <v>391</v>
      </c>
      <c r="C109" s="16">
        <v>1999</v>
      </c>
      <c r="D109" t="s">
        <v>309</v>
      </c>
    </row>
    <row r="110" spans="1:4" ht="15.75" customHeight="1" x14ac:dyDescent="0.2">
      <c r="A110" s="11" t="s">
        <v>386</v>
      </c>
      <c r="B110" s="11" t="s">
        <v>392</v>
      </c>
      <c r="C110" s="16">
        <v>2899</v>
      </c>
      <c r="D110" t="s">
        <v>309</v>
      </c>
    </row>
    <row r="111" spans="1:4" ht="15.75" customHeight="1" x14ac:dyDescent="0.2">
      <c r="A111" s="9" t="s">
        <v>386</v>
      </c>
      <c r="B111" s="9" t="s">
        <v>393</v>
      </c>
      <c r="C111" s="16">
        <v>1500</v>
      </c>
      <c r="D111" t="s">
        <v>309</v>
      </c>
    </row>
    <row r="112" spans="1:4" ht="15.75" customHeight="1" x14ac:dyDescent="0.2">
      <c r="A112" s="11" t="s">
        <v>386</v>
      </c>
      <c r="B112" s="11" t="s">
        <v>394</v>
      </c>
      <c r="C112" s="16">
        <v>8500</v>
      </c>
      <c r="D112" t="s">
        <v>309</v>
      </c>
    </row>
    <row r="113" spans="1:4" ht="15.75" customHeight="1" x14ac:dyDescent="0.2">
      <c r="A113" s="9" t="s">
        <v>386</v>
      </c>
      <c r="B113" s="9" t="s">
        <v>395</v>
      </c>
      <c r="C113" s="16">
        <v>2500</v>
      </c>
      <c r="D113" t="s">
        <v>309</v>
      </c>
    </row>
    <row r="114" spans="1:4" ht="15.75" customHeight="1" x14ac:dyDescent="0.2">
      <c r="A114" s="11" t="s">
        <v>386</v>
      </c>
      <c r="B114" s="11" t="s">
        <v>396</v>
      </c>
      <c r="C114" s="16">
        <v>3000</v>
      </c>
      <c r="D114" t="s">
        <v>309</v>
      </c>
    </row>
    <row r="115" spans="1:4" ht="15.75" customHeight="1" x14ac:dyDescent="0.2">
      <c r="A115" s="9" t="s">
        <v>386</v>
      </c>
      <c r="B115" s="9" t="s">
        <v>397</v>
      </c>
      <c r="C115" s="16">
        <v>10000</v>
      </c>
      <c r="D115" t="s">
        <v>309</v>
      </c>
    </row>
    <row r="116" spans="1:4" ht="15.75" customHeight="1" x14ac:dyDescent="0.2">
      <c r="A116" s="11" t="s">
        <v>386</v>
      </c>
      <c r="B116" s="11" t="s">
        <v>398</v>
      </c>
      <c r="C116" s="16">
        <v>849</v>
      </c>
      <c r="D116" t="s">
        <v>381</v>
      </c>
    </row>
    <row r="117" spans="1:4" ht="15.75" customHeight="1" x14ac:dyDescent="0.2">
      <c r="A117" s="9" t="s">
        <v>386</v>
      </c>
      <c r="B117" s="9" t="s">
        <v>399</v>
      </c>
      <c r="C117" s="16">
        <v>5500</v>
      </c>
      <c r="D117" t="s">
        <v>309</v>
      </c>
    </row>
    <row r="118" spans="1:4" ht="15.75" customHeight="1" x14ac:dyDescent="0.2">
      <c r="A118" s="11" t="s">
        <v>386</v>
      </c>
      <c r="B118" s="11" t="s">
        <v>400</v>
      </c>
      <c r="C118" s="16">
        <v>2500</v>
      </c>
      <c r="D118" t="s">
        <v>309</v>
      </c>
    </row>
    <row r="119" spans="1:4" ht="15.75" customHeight="1" x14ac:dyDescent="0.2">
      <c r="A119" s="9" t="s">
        <v>386</v>
      </c>
      <c r="B119" s="9" t="s">
        <v>401</v>
      </c>
      <c r="C119" s="16">
        <v>5500</v>
      </c>
      <c r="D119" t="s">
        <v>309</v>
      </c>
    </row>
    <row r="120" spans="1:4" ht="15.75" customHeight="1" x14ac:dyDescent="0.2">
      <c r="A120" s="11" t="s">
        <v>386</v>
      </c>
      <c r="B120" s="11" t="s">
        <v>402</v>
      </c>
      <c r="C120" s="16">
        <v>1399</v>
      </c>
      <c r="D120" t="s">
        <v>309</v>
      </c>
    </row>
    <row r="121" spans="1:4" ht="15.75" customHeight="1" x14ac:dyDescent="0.2">
      <c r="A121" s="9" t="s">
        <v>386</v>
      </c>
      <c r="B121" s="9" t="s">
        <v>403</v>
      </c>
      <c r="C121" s="16">
        <v>3800</v>
      </c>
      <c r="D121" t="s">
        <v>309</v>
      </c>
    </row>
    <row r="123" spans="1:4" ht="16.5" customHeight="1" x14ac:dyDescent="0.25">
      <c r="A123" s="17" t="s">
        <v>686</v>
      </c>
      <c r="B123" s="17" t="str">
        <f>COUNTA(B2:B121) &amp; " Ingredientes"</f>
        <v>119 Ingredientes</v>
      </c>
    </row>
    <row r="124" spans="1:4" ht="15.75" customHeight="1" x14ac:dyDescent="0.2"/>
  </sheetData>
  <autoFilter ref="A1:D1" xr:uid="{00000000-0009-0000-0000-000006000000}"/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9"/>
  <sheetViews>
    <sheetView zoomScale="150" zoomScaleNormal="100" workbookViewId="0">
      <pane ySplit="1" topLeftCell="A2" activePane="bottomLeft" state="frozen"/>
      <selection pane="bottomLeft" activeCell="B3" sqref="B3"/>
    </sheetView>
  </sheetViews>
  <sheetFormatPr baseColWidth="10" defaultColWidth="8.6640625" defaultRowHeight="15" x14ac:dyDescent="0.2"/>
  <cols>
    <col min="1" max="1" width="26" customWidth="1"/>
    <col min="2" max="2" width="42" customWidth="1"/>
    <col min="3" max="3" width="12" customWidth="1"/>
    <col min="4" max="4" width="20" customWidth="1"/>
    <col min="5" max="5" width="13" customWidth="1"/>
    <col min="6" max="6" width="11" customWidth="1"/>
    <col min="7" max="7" width="20" customWidth="1"/>
    <col min="8" max="8" width="14" customWidth="1"/>
    <col min="9" max="9" width="34" customWidth="1"/>
  </cols>
  <sheetData>
    <row r="1" spans="1:9" ht="30" customHeight="1" x14ac:dyDescent="0.2">
      <c r="A1" s="1" t="s">
        <v>1</v>
      </c>
      <c r="B1" s="1" t="s">
        <v>225</v>
      </c>
      <c r="C1" s="1" t="s">
        <v>226</v>
      </c>
      <c r="D1" s="1" t="s">
        <v>227</v>
      </c>
      <c r="E1" s="1" t="s">
        <v>228</v>
      </c>
      <c r="F1" s="1" t="s">
        <v>229</v>
      </c>
      <c r="G1" s="1" t="s">
        <v>230</v>
      </c>
      <c r="H1" s="1" t="s">
        <v>231</v>
      </c>
      <c r="I1" s="1" t="s">
        <v>232</v>
      </c>
    </row>
    <row r="2" spans="1:9" x14ac:dyDescent="0.2">
      <c r="A2" s="2" t="s">
        <v>233</v>
      </c>
      <c r="B2" s="2" t="s">
        <v>234</v>
      </c>
      <c r="C2" s="5">
        <v>5228.7299999999996</v>
      </c>
      <c r="D2" s="2" t="s">
        <v>235</v>
      </c>
      <c r="E2" s="2">
        <v>1000</v>
      </c>
      <c r="F2" s="2" t="s">
        <v>236</v>
      </c>
      <c r="G2" s="6">
        <f t="shared" ref="G2:G35" si="0">C2/E2</f>
        <v>5.2287299999999997</v>
      </c>
      <c r="H2" s="3" t="s">
        <v>237</v>
      </c>
      <c r="I2" s="2"/>
    </row>
    <row r="3" spans="1:9" ht="16" x14ac:dyDescent="0.2">
      <c r="A3" s="2" t="s">
        <v>233</v>
      </c>
      <c r="B3" s="11" t="s">
        <v>764</v>
      </c>
      <c r="C3" s="5">
        <v>5833</v>
      </c>
      <c r="D3" s="27" t="s">
        <v>250</v>
      </c>
      <c r="E3" s="2">
        <v>710</v>
      </c>
      <c r="F3" s="2" t="s">
        <v>236</v>
      </c>
      <c r="G3" s="6">
        <f t="shared" ref="G3" si="1">C3/E3</f>
        <v>8.2154929577464788</v>
      </c>
      <c r="H3" s="3" t="s">
        <v>237</v>
      </c>
      <c r="I3" s="2"/>
    </row>
    <row r="4" spans="1:9" ht="16" x14ac:dyDescent="0.2">
      <c r="A4" s="2" t="s">
        <v>233</v>
      </c>
      <c r="B4" s="11" t="s">
        <v>765</v>
      </c>
      <c r="C4" s="5">
        <v>4550</v>
      </c>
      <c r="D4" s="2" t="s">
        <v>238</v>
      </c>
      <c r="E4" s="2">
        <v>330</v>
      </c>
      <c r="F4" s="2" t="s">
        <v>236</v>
      </c>
      <c r="G4" s="6">
        <f t="shared" si="0"/>
        <v>13.787878787878787</v>
      </c>
      <c r="H4" s="3" t="s">
        <v>237</v>
      </c>
      <c r="I4" s="2"/>
    </row>
    <row r="5" spans="1:9" x14ac:dyDescent="0.2">
      <c r="A5" s="2" t="s">
        <v>233</v>
      </c>
      <c r="B5" s="2" t="s">
        <v>239</v>
      </c>
      <c r="C5" s="5">
        <v>6851</v>
      </c>
      <c r="D5" s="2" t="s">
        <v>235</v>
      </c>
      <c r="E5" s="2">
        <v>1000</v>
      </c>
      <c r="F5" s="2" t="s">
        <v>236</v>
      </c>
      <c r="G5" s="6">
        <f t="shared" si="0"/>
        <v>6.851</v>
      </c>
      <c r="H5" s="3" t="s">
        <v>237</v>
      </c>
      <c r="I5" s="2"/>
    </row>
    <row r="6" spans="1:9" x14ac:dyDescent="0.2">
      <c r="A6" s="2" t="s">
        <v>233</v>
      </c>
      <c r="B6" s="2" t="s">
        <v>240</v>
      </c>
      <c r="C6" s="5">
        <v>7035</v>
      </c>
      <c r="D6" s="2" t="s">
        <v>241</v>
      </c>
      <c r="E6" s="2">
        <v>730</v>
      </c>
      <c r="F6" s="2" t="s">
        <v>236</v>
      </c>
      <c r="G6" s="6">
        <f t="shared" si="0"/>
        <v>9.6369863013698627</v>
      </c>
      <c r="H6" s="3" t="s">
        <v>237</v>
      </c>
      <c r="I6" s="2"/>
    </row>
    <row r="7" spans="1:9" x14ac:dyDescent="0.2">
      <c r="A7" s="2" t="s">
        <v>233</v>
      </c>
      <c r="B7" s="2" t="s">
        <v>242</v>
      </c>
      <c r="C7" s="5">
        <v>4326</v>
      </c>
      <c r="D7" s="2" t="s">
        <v>235</v>
      </c>
      <c r="E7" s="2">
        <v>1000</v>
      </c>
      <c r="F7" s="2" t="s">
        <v>236</v>
      </c>
      <c r="G7" s="6">
        <f t="shared" si="0"/>
        <v>4.3259999999999996</v>
      </c>
      <c r="H7" s="3" t="s">
        <v>237</v>
      </c>
      <c r="I7" s="2"/>
    </row>
    <row r="8" spans="1:9" x14ac:dyDescent="0.2">
      <c r="A8" s="2" t="s">
        <v>233</v>
      </c>
      <c r="B8" s="2" t="s">
        <v>243</v>
      </c>
      <c r="C8" s="5">
        <v>4500</v>
      </c>
      <c r="D8" s="2" t="s">
        <v>235</v>
      </c>
      <c r="E8" s="2">
        <v>1000</v>
      </c>
      <c r="F8" s="2" t="s">
        <v>236</v>
      </c>
      <c r="G8" s="6">
        <f t="shared" si="0"/>
        <v>4.5</v>
      </c>
      <c r="H8" s="3" t="s">
        <v>237</v>
      </c>
      <c r="I8" s="2"/>
    </row>
    <row r="9" spans="1:9" x14ac:dyDescent="0.2">
      <c r="A9" s="2" t="s">
        <v>244</v>
      </c>
      <c r="B9" s="2" t="s">
        <v>245</v>
      </c>
      <c r="C9" s="5">
        <v>14050</v>
      </c>
      <c r="D9" s="2" t="s">
        <v>246</v>
      </c>
      <c r="E9" s="2">
        <v>750</v>
      </c>
      <c r="F9" s="2" t="s">
        <v>236</v>
      </c>
      <c r="G9" s="6">
        <f t="shared" si="0"/>
        <v>18.733333333333334</v>
      </c>
      <c r="H9" s="3" t="s">
        <v>237</v>
      </c>
      <c r="I9" s="2"/>
    </row>
    <row r="10" spans="1:9" x14ac:dyDescent="0.2">
      <c r="A10" s="2" t="s">
        <v>244</v>
      </c>
      <c r="B10" s="2" t="s">
        <v>48</v>
      </c>
      <c r="C10" s="5">
        <v>43200</v>
      </c>
      <c r="D10" s="2" t="s">
        <v>246</v>
      </c>
      <c r="E10" s="2">
        <v>750</v>
      </c>
      <c r="F10" s="2" t="s">
        <v>236</v>
      </c>
      <c r="G10" s="6">
        <f t="shared" si="0"/>
        <v>57.6</v>
      </c>
      <c r="H10" s="3" t="s">
        <v>237</v>
      </c>
      <c r="I10" s="2"/>
    </row>
    <row r="11" spans="1:9" x14ac:dyDescent="0.2">
      <c r="A11" s="2" t="s">
        <v>244</v>
      </c>
      <c r="B11" s="2" t="s">
        <v>247</v>
      </c>
      <c r="C11" s="5">
        <v>7000</v>
      </c>
      <c r="D11" s="2" t="s">
        <v>248</v>
      </c>
      <c r="E11" s="2">
        <v>700</v>
      </c>
      <c r="F11" s="2" t="s">
        <v>236</v>
      </c>
      <c r="G11" s="6">
        <f t="shared" si="0"/>
        <v>10</v>
      </c>
      <c r="H11" s="3" t="s">
        <v>237</v>
      </c>
      <c r="I11" s="2"/>
    </row>
    <row r="12" spans="1:9" x14ac:dyDescent="0.2">
      <c r="A12" s="2" t="s">
        <v>244</v>
      </c>
      <c r="B12" s="2" t="s">
        <v>249</v>
      </c>
      <c r="C12" s="5">
        <v>8000</v>
      </c>
      <c r="D12" s="2" t="s">
        <v>250</v>
      </c>
      <c r="E12" s="2">
        <v>710</v>
      </c>
      <c r="F12" s="2" t="s">
        <v>236</v>
      </c>
      <c r="G12" s="6">
        <f t="shared" si="0"/>
        <v>11.267605633802816</v>
      </c>
      <c r="H12" s="3" t="s">
        <v>237</v>
      </c>
      <c r="I12" s="2"/>
    </row>
    <row r="13" spans="1:9" x14ac:dyDescent="0.2">
      <c r="A13" s="2" t="s">
        <v>244</v>
      </c>
      <c r="B13" s="2" t="s">
        <v>54</v>
      </c>
      <c r="C13" s="5">
        <v>9999</v>
      </c>
      <c r="D13" s="2" t="s">
        <v>246</v>
      </c>
      <c r="E13" s="2">
        <v>750</v>
      </c>
      <c r="F13" s="2" t="s">
        <v>236</v>
      </c>
      <c r="G13" s="6">
        <f t="shared" si="0"/>
        <v>13.332000000000001</v>
      </c>
      <c r="H13" s="3" t="s">
        <v>237</v>
      </c>
      <c r="I13" s="2"/>
    </row>
    <row r="14" spans="1:9" x14ac:dyDescent="0.2">
      <c r="A14" s="2" t="s">
        <v>244</v>
      </c>
      <c r="B14" s="2" t="s">
        <v>251</v>
      </c>
      <c r="C14" s="5">
        <v>11000</v>
      </c>
      <c r="D14" s="2" t="s">
        <v>246</v>
      </c>
      <c r="E14" s="2">
        <v>750</v>
      </c>
      <c r="F14" s="2" t="s">
        <v>236</v>
      </c>
      <c r="G14" s="6">
        <f t="shared" si="0"/>
        <v>14.666666666666666</v>
      </c>
      <c r="H14" s="3" t="s">
        <v>237</v>
      </c>
      <c r="I14" s="2"/>
    </row>
    <row r="15" spans="1:9" x14ac:dyDescent="0.2">
      <c r="A15" s="2" t="s">
        <v>244</v>
      </c>
      <c r="B15" s="2" t="s">
        <v>252</v>
      </c>
      <c r="C15" s="5">
        <v>23595</v>
      </c>
      <c r="D15" s="2" t="s">
        <v>246</v>
      </c>
      <c r="E15" s="2">
        <v>750</v>
      </c>
      <c r="F15" s="2" t="s">
        <v>236</v>
      </c>
      <c r="G15" s="6">
        <f t="shared" si="0"/>
        <v>31.46</v>
      </c>
      <c r="H15" s="3" t="s">
        <v>237</v>
      </c>
      <c r="I15" s="2"/>
    </row>
    <row r="16" spans="1:9" x14ac:dyDescent="0.2">
      <c r="A16" s="2" t="s">
        <v>244</v>
      </c>
      <c r="B16" s="2" t="s">
        <v>253</v>
      </c>
      <c r="C16" s="5">
        <v>8990</v>
      </c>
      <c r="D16" s="2" t="s">
        <v>248</v>
      </c>
      <c r="E16" s="2">
        <v>700</v>
      </c>
      <c r="F16" s="2" t="s">
        <v>236</v>
      </c>
      <c r="G16" s="6">
        <f t="shared" si="0"/>
        <v>12.842857142857143</v>
      </c>
      <c r="H16" s="3" t="s">
        <v>237</v>
      </c>
      <c r="I16" s="2"/>
    </row>
    <row r="17" spans="1:9" x14ac:dyDescent="0.2">
      <c r="A17" s="2" t="s">
        <v>244</v>
      </c>
      <c r="B17" s="27" t="s">
        <v>751</v>
      </c>
      <c r="C17" s="5">
        <v>32900</v>
      </c>
      <c r="D17" s="27" t="s">
        <v>246</v>
      </c>
      <c r="E17" s="2">
        <v>750</v>
      </c>
      <c r="F17" s="2" t="s">
        <v>236</v>
      </c>
      <c r="G17" s="6">
        <f t="shared" ref="G17" si="2">C17/E17</f>
        <v>43.866666666666667</v>
      </c>
      <c r="H17" s="3" t="s">
        <v>237</v>
      </c>
      <c r="I17" s="2"/>
    </row>
    <row r="18" spans="1:9" x14ac:dyDescent="0.2">
      <c r="A18" s="2" t="s">
        <v>244</v>
      </c>
      <c r="B18" s="2" t="s">
        <v>71</v>
      </c>
      <c r="C18" s="5">
        <v>33000</v>
      </c>
      <c r="D18" s="2" t="s">
        <v>248</v>
      </c>
      <c r="E18" s="2">
        <v>700</v>
      </c>
      <c r="F18" s="2" t="s">
        <v>236</v>
      </c>
      <c r="G18" s="6">
        <f t="shared" si="0"/>
        <v>47.142857142857146</v>
      </c>
      <c r="H18" s="3" t="s">
        <v>237</v>
      </c>
      <c r="I18" s="2"/>
    </row>
    <row r="19" spans="1:9" x14ac:dyDescent="0.2">
      <c r="A19" s="2" t="s">
        <v>244</v>
      </c>
      <c r="B19" s="2" t="s">
        <v>75</v>
      </c>
      <c r="C19" s="5">
        <v>16000</v>
      </c>
      <c r="D19" s="2" t="s">
        <v>248</v>
      </c>
      <c r="E19" s="2">
        <v>700</v>
      </c>
      <c r="F19" s="2" t="s">
        <v>236</v>
      </c>
      <c r="G19" s="6">
        <f t="shared" si="0"/>
        <v>22.857142857142858</v>
      </c>
      <c r="H19" s="3" t="s">
        <v>237</v>
      </c>
      <c r="I19" s="2"/>
    </row>
    <row r="20" spans="1:9" x14ac:dyDescent="0.2">
      <c r="A20" s="2" t="s">
        <v>244</v>
      </c>
      <c r="B20" s="2" t="s">
        <v>254</v>
      </c>
      <c r="C20" s="5">
        <v>28500</v>
      </c>
      <c r="D20" s="2" t="s">
        <v>248</v>
      </c>
      <c r="E20" s="2">
        <v>700</v>
      </c>
      <c r="F20" s="2" t="s">
        <v>236</v>
      </c>
      <c r="G20" s="6">
        <f t="shared" si="0"/>
        <v>40.714285714285715</v>
      </c>
      <c r="H20" s="3" t="s">
        <v>237</v>
      </c>
      <c r="I20" s="2"/>
    </row>
    <row r="21" spans="1:9" x14ac:dyDescent="0.2">
      <c r="A21" s="2" t="s">
        <v>244</v>
      </c>
      <c r="B21" s="2" t="s">
        <v>255</v>
      </c>
      <c r="C21" s="5">
        <v>35000</v>
      </c>
      <c r="D21" s="2" t="s">
        <v>248</v>
      </c>
      <c r="E21" s="2">
        <v>700</v>
      </c>
      <c r="F21" s="2" t="s">
        <v>236</v>
      </c>
      <c r="G21" s="6">
        <f t="shared" si="0"/>
        <v>50</v>
      </c>
      <c r="H21" s="3" t="s">
        <v>237</v>
      </c>
      <c r="I21" s="2"/>
    </row>
    <row r="22" spans="1:9" x14ac:dyDescent="0.2">
      <c r="A22" s="2" t="s">
        <v>244</v>
      </c>
      <c r="B22" s="2" t="s">
        <v>256</v>
      </c>
      <c r="C22" s="5">
        <v>22000</v>
      </c>
      <c r="D22" s="2" t="s">
        <v>248</v>
      </c>
      <c r="E22" s="2">
        <v>700</v>
      </c>
      <c r="F22" s="2" t="s">
        <v>236</v>
      </c>
      <c r="G22" s="6">
        <f t="shared" si="0"/>
        <v>31.428571428571427</v>
      </c>
      <c r="H22" s="3" t="s">
        <v>237</v>
      </c>
      <c r="I22" s="2"/>
    </row>
    <row r="23" spans="1:9" x14ac:dyDescent="0.2">
      <c r="A23" s="2" t="s">
        <v>244</v>
      </c>
      <c r="B23" s="2" t="s">
        <v>257</v>
      </c>
      <c r="C23" s="5">
        <v>15000</v>
      </c>
      <c r="D23" s="2" t="s">
        <v>246</v>
      </c>
      <c r="E23" s="2">
        <v>750</v>
      </c>
      <c r="F23" s="2" t="s">
        <v>236</v>
      </c>
      <c r="G23" s="6">
        <f t="shared" si="0"/>
        <v>20</v>
      </c>
      <c r="H23" s="3" t="s">
        <v>237</v>
      </c>
      <c r="I23" s="2"/>
    </row>
    <row r="24" spans="1:9" x14ac:dyDescent="0.2">
      <c r="A24" s="2" t="s">
        <v>244</v>
      </c>
      <c r="B24" s="2" t="s">
        <v>258</v>
      </c>
      <c r="C24" s="5">
        <v>40000</v>
      </c>
      <c r="D24" s="2" t="s">
        <v>246</v>
      </c>
      <c r="E24" s="2">
        <v>750</v>
      </c>
      <c r="F24" s="2" t="s">
        <v>236</v>
      </c>
      <c r="G24" s="6">
        <f t="shared" si="0"/>
        <v>53.333333333333336</v>
      </c>
      <c r="H24" s="3" t="s">
        <v>237</v>
      </c>
      <c r="I24" s="2"/>
    </row>
    <row r="25" spans="1:9" x14ac:dyDescent="0.2">
      <c r="A25" s="2" t="s">
        <v>244</v>
      </c>
      <c r="B25" s="2" t="s">
        <v>259</v>
      </c>
      <c r="C25" s="5">
        <v>40000</v>
      </c>
      <c r="D25" s="2" t="s">
        <v>246</v>
      </c>
      <c r="E25" s="2">
        <v>750</v>
      </c>
      <c r="F25" s="2" t="s">
        <v>236</v>
      </c>
      <c r="G25" s="6">
        <f t="shared" si="0"/>
        <v>53.333333333333336</v>
      </c>
      <c r="H25" s="3" t="s">
        <v>237</v>
      </c>
      <c r="I25" s="2"/>
    </row>
    <row r="26" spans="1:9" x14ac:dyDescent="0.2">
      <c r="A26" s="2" t="s">
        <v>244</v>
      </c>
      <c r="B26" s="2" t="s">
        <v>260</v>
      </c>
      <c r="C26" s="5">
        <v>12380</v>
      </c>
      <c r="D26" s="2" t="s">
        <v>261</v>
      </c>
      <c r="E26" s="2">
        <v>950</v>
      </c>
      <c r="F26" s="2" t="s">
        <v>236</v>
      </c>
      <c r="G26" s="6">
        <f t="shared" si="0"/>
        <v>13.031578947368422</v>
      </c>
      <c r="H26" s="3" t="s">
        <v>237</v>
      </c>
      <c r="I26" s="2"/>
    </row>
    <row r="27" spans="1:9" x14ac:dyDescent="0.2">
      <c r="A27" s="2" t="s">
        <v>244</v>
      </c>
      <c r="B27" s="2" t="s">
        <v>262</v>
      </c>
      <c r="C27" s="5">
        <v>17424</v>
      </c>
      <c r="D27" s="2" t="s">
        <v>261</v>
      </c>
      <c r="E27" s="2">
        <v>950</v>
      </c>
      <c r="F27" s="2" t="s">
        <v>236</v>
      </c>
      <c r="G27" s="6">
        <f t="shared" si="0"/>
        <v>18.341052631578947</v>
      </c>
      <c r="H27" s="3" t="s">
        <v>237</v>
      </c>
      <c r="I27" s="2"/>
    </row>
    <row r="28" spans="1:9" x14ac:dyDescent="0.2">
      <c r="A28" s="2" t="s">
        <v>244</v>
      </c>
      <c r="B28" s="2" t="s">
        <v>263</v>
      </c>
      <c r="C28" s="5">
        <v>8800</v>
      </c>
      <c r="D28" s="2" t="s">
        <v>264</v>
      </c>
      <c r="E28" s="2">
        <v>700</v>
      </c>
      <c r="F28" s="2" t="s">
        <v>236</v>
      </c>
      <c r="G28" s="6">
        <f t="shared" si="0"/>
        <v>12.571428571428571</v>
      </c>
      <c r="H28" s="3" t="s">
        <v>237</v>
      </c>
      <c r="I28" s="2"/>
    </row>
    <row r="29" spans="1:9" x14ac:dyDescent="0.2">
      <c r="A29" s="2" t="s">
        <v>244</v>
      </c>
      <c r="B29" s="2" t="s">
        <v>265</v>
      </c>
      <c r="C29" s="5">
        <v>23400</v>
      </c>
      <c r="D29" s="2" t="s">
        <v>264</v>
      </c>
      <c r="E29" s="2">
        <v>700</v>
      </c>
      <c r="F29" s="2" t="s">
        <v>236</v>
      </c>
      <c r="G29" s="6">
        <f t="shared" si="0"/>
        <v>33.428571428571431</v>
      </c>
      <c r="H29" s="3" t="s">
        <v>237</v>
      </c>
      <c r="I29" s="2"/>
    </row>
    <row r="30" spans="1:9" x14ac:dyDescent="0.2">
      <c r="A30" s="2" t="s">
        <v>244</v>
      </c>
      <c r="B30" s="2" t="s">
        <v>266</v>
      </c>
      <c r="C30" s="5">
        <v>10000</v>
      </c>
      <c r="D30" s="2" t="s">
        <v>264</v>
      </c>
      <c r="E30" s="2">
        <v>700</v>
      </c>
      <c r="F30" s="2" t="s">
        <v>236</v>
      </c>
      <c r="G30" s="6">
        <f t="shared" si="0"/>
        <v>14.285714285714286</v>
      </c>
      <c r="H30" s="3" t="s">
        <v>237</v>
      </c>
      <c r="I30" s="2"/>
    </row>
    <row r="31" spans="1:9" x14ac:dyDescent="0.2">
      <c r="A31" s="2" t="s">
        <v>244</v>
      </c>
      <c r="B31" s="2" t="s">
        <v>267</v>
      </c>
      <c r="C31" s="5">
        <v>6500</v>
      </c>
      <c r="D31" s="2" t="s">
        <v>246</v>
      </c>
      <c r="E31" s="2">
        <v>750</v>
      </c>
      <c r="F31" s="2" t="s">
        <v>236</v>
      </c>
      <c r="G31" s="6">
        <f t="shared" si="0"/>
        <v>8.6666666666666661</v>
      </c>
      <c r="H31" s="3" t="s">
        <v>237</v>
      </c>
      <c r="I31" s="2"/>
    </row>
    <row r="32" spans="1:9" x14ac:dyDescent="0.2">
      <c r="A32" s="2" t="s">
        <v>268</v>
      </c>
      <c r="B32" s="2" t="s">
        <v>269</v>
      </c>
      <c r="C32" s="5">
        <v>4219</v>
      </c>
      <c r="D32" s="2" t="s">
        <v>270</v>
      </c>
      <c r="E32" s="2">
        <v>1000</v>
      </c>
      <c r="F32" s="2" t="s">
        <v>236</v>
      </c>
      <c r="G32" s="6">
        <f t="shared" si="0"/>
        <v>4.2190000000000003</v>
      </c>
      <c r="H32" s="3" t="s">
        <v>237</v>
      </c>
      <c r="I32" s="2"/>
    </row>
    <row r="33" spans="1:9" x14ac:dyDescent="0.2">
      <c r="A33" s="2" t="s">
        <v>268</v>
      </c>
      <c r="B33" s="2" t="s">
        <v>271</v>
      </c>
      <c r="C33" s="5">
        <v>6000</v>
      </c>
      <c r="D33" s="2" t="s">
        <v>235</v>
      </c>
      <c r="E33" s="2">
        <v>1000</v>
      </c>
      <c r="F33" s="2" t="s">
        <v>236</v>
      </c>
      <c r="G33" s="6">
        <f t="shared" si="0"/>
        <v>6</v>
      </c>
      <c r="H33" s="3" t="s">
        <v>237</v>
      </c>
      <c r="I33" s="2"/>
    </row>
    <row r="34" spans="1:9" x14ac:dyDescent="0.2">
      <c r="A34" s="2" t="s">
        <v>268</v>
      </c>
      <c r="B34" s="2" t="s">
        <v>272</v>
      </c>
      <c r="C34" s="5">
        <v>6000</v>
      </c>
      <c r="D34" s="2" t="s">
        <v>235</v>
      </c>
      <c r="E34" s="2">
        <v>1000</v>
      </c>
      <c r="F34" s="2" t="s">
        <v>236</v>
      </c>
      <c r="G34" s="6">
        <f t="shared" si="0"/>
        <v>6</v>
      </c>
      <c r="H34" s="3" t="s">
        <v>237</v>
      </c>
      <c r="I34" s="2"/>
    </row>
    <row r="35" spans="1:9" x14ac:dyDescent="0.2">
      <c r="A35" s="2" t="s">
        <v>268</v>
      </c>
      <c r="B35" s="2" t="s">
        <v>273</v>
      </c>
      <c r="C35" s="5">
        <v>6000</v>
      </c>
      <c r="D35" s="2" t="s">
        <v>274</v>
      </c>
      <c r="E35" s="2">
        <v>900</v>
      </c>
      <c r="F35" s="2" t="s">
        <v>275</v>
      </c>
      <c r="G35" s="6">
        <f t="shared" si="0"/>
        <v>6.666666666666667</v>
      </c>
      <c r="H35" s="3" t="s">
        <v>237</v>
      </c>
      <c r="I35" s="2"/>
    </row>
    <row r="36" spans="1:9" x14ac:dyDescent="0.2">
      <c r="A36" s="2" t="s">
        <v>276</v>
      </c>
      <c r="B36" s="2" t="s">
        <v>277</v>
      </c>
      <c r="C36" s="5">
        <v>4891</v>
      </c>
      <c r="D36" s="2" t="s">
        <v>278</v>
      </c>
      <c r="E36" s="2">
        <v>6200</v>
      </c>
      <c r="F36" s="2" t="s">
        <v>236</v>
      </c>
      <c r="G36" s="6">
        <f t="shared" ref="G36:G67" si="3">C36/E36</f>
        <v>0.78887096774193544</v>
      </c>
      <c r="H36" s="3" t="s">
        <v>237</v>
      </c>
      <c r="I36" s="2"/>
    </row>
    <row r="37" spans="1:9" x14ac:dyDescent="0.2">
      <c r="A37" s="2" t="s">
        <v>276</v>
      </c>
      <c r="B37" s="2" t="s">
        <v>143</v>
      </c>
      <c r="C37" s="5">
        <v>3536</v>
      </c>
      <c r="D37" s="2" t="s">
        <v>279</v>
      </c>
      <c r="E37" s="2">
        <v>2250</v>
      </c>
      <c r="F37" s="2" t="s">
        <v>236</v>
      </c>
      <c r="G37" s="6">
        <f t="shared" si="3"/>
        <v>1.5715555555555556</v>
      </c>
      <c r="H37" s="3" t="s">
        <v>237</v>
      </c>
      <c r="I37" s="2"/>
    </row>
    <row r="38" spans="1:9" x14ac:dyDescent="0.2">
      <c r="A38" s="2" t="s">
        <v>276</v>
      </c>
      <c r="B38" s="2" t="s">
        <v>280</v>
      </c>
      <c r="C38" s="5">
        <v>4742</v>
      </c>
      <c r="D38" s="2" t="s">
        <v>281</v>
      </c>
      <c r="E38" s="2">
        <v>1500</v>
      </c>
      <c r="F38" s="2" t="s">
        <v>236</v>
      </c>
      <c r="G38" s="6">
        <f t="shared" si="3"/>
        <v>3.1613333333333333</v>
      </c>
      <c r="H38" s="3" t="s">
        <v>237</v>
      </c>
      <c r="I38" s="2"/>
    </row>
    <row r="39" spans="1:9" x14ac:dyDescent="0.2">
      <c r="A39" s="2" t="s">
        <v>276</v>
      </c>
      <c r="B39" s="2" t="s">
        <v>282</v>
      </c>
      <c r="C39" s="5">
        <v>3296</v>
      </c>
      <c r="D39" s="2" t="s">
        <v>283</v>
      </c>
      <c r="E39" s="2">
        <v>355</v>
      </c>
      <c r="F39" s="2" t="s">
        <v>236</v>
      </c>
      <c r="G39" s="6">
        <f t="shared" si="3"/>
        <v>9.2845070422535212</v>
      </c>
      <c r="H39" s="3" t="s">
        <v>237</v>
      </c>
      <c r="I39" s="2"/>
    </row>
    <row r="40" spans="1:9" x14ac:dyDescent="0.2">
      <c r="A40" s="2" t="s">
        <v>276</v>
      </c>
      <c r="B40" s="2" t="s">
        <v>284</v>
      </c>
      <c r="C40" s="5">
        <v>2300</v>
      </c>
      <c r="D40" s="2" t="s">
        <v>285</v>
      </c>
      <c r="E40" s="2">
        <v>600</v>
      </c>
      <c r="F40" s="2" t="s">
        <v>236</v>
      </c>
      <c r="G40" s="6">
        <f t="shared" si="3"/>
        <v>3.8333333333333335</v>
      </c>
      <c r="H40" s="3" t="s">
        <v>237</v>
      </c>
      <c r="I40" s="2"/>
    </row>
    <row r="41" spans="1:9" x14ac:dyDescent="0.2">
      <c r="A41" s="2" t="s">
        <v>276</v>
      </c>
      <c r="B41" s="2" t="s">
        <v>286</v>
      </c>
      <c r="C41" s="5">
        <v>4750</v>
      </c>
      <c r="D41" s="2" t="s">
        <v>279</v>
      </c>
      <c r="E41" s="2">
        <v>2250</v>
      </c>
      <c r="F41" s="2" t="s">
        <v>236</v>
      </c>
      <c r="G41" s="6">
        <f t="shared" si="3"/>
        <v>2.1111111111111112</v>
      </c>
      <c r="H41" s="3" t="s">
        <v>237</v>
      </c>
      <c r="I41" s="2"/>
    </row>
    <row r="42" spans="1:9" x14ac:dyDescent="0.2">
      <c r="A42" s="2" t="s">
        <v>276</v>
      </c>
      <c r="B42" s="2" t="s">
        <v>157</v>
      </c>
      <c r="C42" s="5">
        <v>3550</v>
      </c>
      <c r="D42" s="2" t="s">
        <v>287</v>
      </c>
      <c r="E42" s="2">
        <v>250</v>
      </c>
      <c r="F42" s="2" t="s">
        <v>236</v>
      </c>
      <c r="G42" s="6">
        <f t="shared" si="3"/>
        <v>14.2</v>
      </c>
      <c r="H42" s="3" t="s">
        <v>237</v>
      </c>
      <c r="I42" s="2"/>
    </row>
    <row r="43" spans="1:9" x14ac:dyDescent="0.2">
      <c r="A43" s="2" t="s">
        <v>276</v>
      </c>
      <c r="B43" s="2" t="s">
        <v>154</v>
      </c>
      <c r="C43" s="5">
        <v>3050</v>
      </c>
      <c r="D43" s="2" t="s">
        <v>288</v>
      </c>
      <c r="E43" s="2">
        <v>473</v>
      </c>
      <c r="F43" s="2" t="s">
        <v>236</v>
      </c>
      <c r="G43" s="6">
        <f t="shared" si="3"/>
        <v>6.4482029598308666</v>
      </c>
      <c r="H43" s="3" t="s">
        <v>237</v>
      </c>
      <c r="I43" s="2"/>
    </row>
    <row r="44" spans="1:9" x14ac:dyDescent="0.2">
      <c r="A44" s="2" t="s">
        <v>276</v>
      </c>
      <c r="B44" s="2" t="s">
        <v>289</v>
      </c>
      <c r="C44" s="5">
        <v>5390</v>
      </c>
      <c r="D44" s="2" t="s">
        <v>290</v>
      </c>
      <c r="E44" s="2">
        <v>3000</v>
      </c>
      <c r="F44" s="2" t="s">
        <v>236</v>
      </c>
      <c r="G44" s="6">
        <f t="shared" si="3"/>
        <v>1.7966666666666666</v>
      </c>
      <c r="H44" s="3" t="s">
        <v>237</v>
      </c>
      <c r="I44" s="2"/>
    </row>
    <row r="45" spans="1:9" x14ac:dyDescent="0.2">
      <c r="A45" s="2" t="s">
        <v>276</v>
      </c>
      <c r="B45" s="2" t="s">
        <v>291</v>
      </c>
      <c r="C45" s="5">
        <v>1290</v>
      </c>
      <c r="D45" s="2" t="s">
        <v>279</v>
      </c>
      <c r="E45" s="2">
        <v>2250</v>
      </c>
      <c r="F45" s="2" t="s">
        <v>236</v>
      </c>
      <c r="G45" s="6">
        <f t="shared" si="3"/>
        <v>0.57333333333333336</v>
      </c>
      <c r="H45" s="3" t="s">
        <v>237</v>
      </c>
      <c r="I45" s="2"/>
    </row>
    <row r="46" spans="1:9" x14ac:dyDescent="0.2">
      <c r="A46" s="2" t="s">
        <v>276</v>
      </c>
      <c r="B46" s="2" t="s">
        <v>133</v>
      </c>
      <c r="C46" s="5">
        <v>2300</v>
      </c>
      <c r="D46" s="2" t="s">
        <v>285</v>
      </c>
      <c r="E46" s="2">
        <v>600</v>
      </c>
      <c r="F46" s="2" t="s">
        <v>236</v>
      </c>
      <c r="G46" s="6">
        <f t="shared" si="3"/>
        <v>3.8333333333333335</v>
      </c>
      <c r="H46" s="3" t="s">
        <v>237</v>
      </c>
      <c r="I46" s="2"/>
    </row>
    <row r="47" spans="1:9" x14ac:dyDescent="0.2">
      <c r="A47" s="2" t="s">
        <v>276</v>
      </c>
      <c r="B47" s="2" t="s">
        <v>292</v>
      </c>
      <c r="C47" s="5">
        <v>4742</v>
      </c>
      <c r="D47" s="2" t="s">
        <v>290</v>
      </c>
      <c r="E47" s="2">
        <v>3000</v>
      </c>
      <c r="F47" s="2" t="s">
        <v>236</v>
      </c>
      <c r="G47" s="6">
        <f t="shared" si="3"/>
        <v>1.5806666666666667</v>
      </c>
      <c r="H47" s="3" t="s">
        <v>237</v>
      </c>
      <c r="I47" s="2"/>
    </row>
    <row r="48" spans="1:9" x14ac:dyDescent="0.2">
      <c r="A48" s="2" t="s">
        <v>293</v>
      </c>
      <c r="B48" s="2" t="s">
        <v>294</v>
      </c>
      <c r="C48" s="5">
        <v>35800</v>
      </c>
      <c r="D48" s="2" t="s">
        <v>295</v>
      </c>
      <c r="E48" s="2">
        <v>750</v>
      </c>
      <c r="F48" s="2" t="s">
        <v>236</v>
      </c>
      <c r="G48" s="6">
        <f t="shared" si="3"/>
        <v>47.733333333333334</v>
      </c>
      <c r="H48" s="3" t="s">
        <v>237</v>
      </c>
      <c r="I48" s="2"/>
    </row>
    <row r="49" spans="1:9" x14ac:dyDescent="0.2">
      <c r="A49" s="2" t="s">
        <v>293</v>
      </c>
      <c r="B49" s="2" t="s">
        <v>296</v>
      </c>
      <c r="C49" s="5">
        <v>18150</v>
      </c>
      <c r="D49" s="2" t="s">
        <v>295</v>
      </c>
      <c r="E49" s="2">
        <v>750</v>
      </c>
      <c r="F49" s="2" t="s">
        <v>236</v>
      </c>
      <c r="G49" s="6">
        <f t="shared" si="3"/>
        <v>24.2</v>
      </c>
      <c r="H49" s="3" t="s">
        <v>237</v>
      </c>
      <c r="I49" s="2"/>
    </row>
    <row r="50" spans="1:9" x14ac:dyDescent="0.2">
      <c r="A50" s="2" t="s">
        <v>293</v>
      </c>
      <c r="B50" s="2" t="s">
        <v>297</v>
      </c>
      <c r="C50" s="5">
        <v>5999</v>
      </c>
      <c r="D50" s="2" t="s">
        <v>298</v>
      </c>
      <c r="E50" s="2">
        <v>750</v>
      </c>
      <c r="F50" s="2" t="s">
        <v>236</v>
      </c>
      <c r="G50" s="6">
        <f t="shared" si="3"/>
        <v>7.9986666666666668</v>
      </c>
      <c r="H50" s="3" t="s">
        <v>237</v>
      </c>
      <c r="I50" s="2"/>
    </row>
    <row r="51" spans="1:9" x14ac:dyDescent="0.2">
      <c r="A51" s="2" t="s">
        <v>299</v>
      </c>
      <c r="B51" s="2" t="s">
        <v>300</v>
      </c>
      <c r="C51" s="5">
        <v>3099</v>
      </c>
      <c r="D51" s="2" t="s">
        <v>301</v>
      </c>
      <c r="E51" s="2">
        <v>900</v>
      </c>
      <c r="F51" s="2" t="s">
        <v>236</v>
      </c>
      <c r="G51" s="6">
        <f t="shared" si="3"/>
        <v>3.4433333333333334</v>
      </c>
      <c r="H51" s="3" t="s">
        <v>237</v>
      </c>
      <c r="I51" s="2"/>
    </row>
    <row r="52" spans="1:9" x14ac:dyDescent="0.2">
      <c r="A52" s="2" t="s">
        <v>299</v>
      </c>
      <c r="B52" s="2" t="s">
        <v>302</v>
      </c>
      <c r="C52" s="5">
        <v>21365</v>
      </c>
      <c r="D52" s="2" t="s">
        <v>303</v>
      </c>
      <c r="E52" s="2">
        <v>500</v>
      </c>
      <c r="F52" s="2" t="s">
        <v>236</v>
      </c>
      <c r="G52" s="6">
        <f t="shared" si="3"/>
        <v>42.73</v>
      </c>
      <c r="H52" s="3" t="s">
        <v>237</v>
      </c>
      <c r="I52" s="2"/>
    </row>
    <row r="53" spans="1:9" x14ac:dyDescent="0.2">
      <c r="A53" s="2" t="s">
        <v>299</v>
      </c>
      <c r="B53" s="2" t="s">
        <v>304</v>
      </c>
      <c r="C53" s="5">
        <v>4800</v>
      </c>
      <c r="D53" s="2" t="s">
        <v>305</v>
      </c>
      <c r="E53" s="2">
        <v>310</v>
      </c>
      <c r="F53" s="2" t="s">
        <v>275</v>
      </c>
      <c r="G53" s="6">
        <f t="shared" si="3"/>
        <v>15.483870967741936</v>
      </c>
      <c r="H53" s="3" t="s">
        <v>237</v>
      </c>
      <c r="I53" s="2"/>
    </row>
    <row r="54" spans="1:9" x14ac:dyDescent="0.2">
      <c r="A54" s="2" t="s">
        <v>299</v>
      </c>
      <c r="B54" s="2" t="s">
        <v>306</v>
      </c>
      <c r="C54" s="5">
        <v>6300</v>
      </c>
      <c r="D54" s="2" t="s">
        <v>307</v>
      </c>
      <c r="E54" s="2">
        <v>240</v>
      </c>
      <c r="F54" s="2" t="s">
        <v>275</v>
      </c>
      <c r="G54" s="6">
        <f t="shared" si="3"/>
        <v>26.25</v>
      </c>
      <c r="H54" s="3" t="s">
        <v>237</v>
      </c>
      <c r="I54" s="2"/>
    </row>
    <row r="55" spans="1:9" x14ac:dyDescent="0.2">
      <c r="A55" s="2" t="s">
        <v>299</v>
      </c>
      <c r="B55" s="2" t="s">
        <v>308</v>
      </c>
      <c r="C55" s="5">
        <v>1319</v>
      </c>
      <c r="D55" s="2" t="s">
        <v>309</v>
      </c>
      <c r="E55" s="2">
        <v>1000</v>
      </c>
      <c r="F55" s="2" t="s">
        <v>275</v>
      </c>
      <c r="G55" s="6">
        <f t="shared" si="3"/>
        <v>1.319</v>
      </c>
      <c r="H55" s="3" t="s">
        <v>237</v>
      </c>
      <c r="I55" s="2"/>
    </row>
    <row r="56" spans="1:9" x14ac:dyDescent="0.2">
      <c r="A56" s="2" t="s">
        <v>299</v>
      </c>
      <c r="B56" s="2" t="s">
        <v>310</v>
      </c>
      <c r="C56" s="5">
        <v>1150</v>
      </c>
      <c r="D56" s="2" t="s">
        <v>309</v>
      </c>
      <c r="E56" s="2">
        <v>1000</v>
      </c>
      <c r="F56" s="2" t="s">
        <v>275</v>
      </c>
      <c r="G56" s="6">
        <f t="shared" si="3"/>
        <v>1.1499999999999999</v>
      </c>
      <c r="H56" s="3" t="s">
        <v>237</v>
      </c>
      <c r="I56" s="2"/>
    </row>
    <row r="57" spans="1:9" x14ac:dyDescent="0.2">
      <c r="A57" s="2" t="s">
        <v>299</v>
      </c>
      <c r="B57" s="2" t="s">
        <v>311</v>
      </c>
      <c r="C57" s="5">
        <v>10000</v>
      </c>
      <c r="D57" s="2" t="s">
        <v>309</v>
      </c>
      <c r="E57" s="2">
        <v>1000</v>
      </c>
      <c r="F57" s="2" t="s">
        <v>275</v>
      </c>
      <c r="G57" s="6">
        <f t="shared" si="3"/>
        <v>10</v>
      </c>
      <c r="H57" s="3" t="s">
        <v>237</v>
      </c>
      <c r="I57" s="2"/>
    </row>
    <row r="58" spans="1:9" x14ac:dyDescent="0.2">
      <c r="A58" s="2" t="s">
        <v>299</v>
      </c>
      <c r="B58" s="2" t="s">
        <v>312</v>
      </c>
      <c r="C58" s="5">
        <v>6000</v>
      </c>
      <c r="D58" s="2" t="s">
        <v>313</v>
      </c>
      <c r="E58" s="2">
        <v>10000</v>
      </c>
      <c r="F58" s="2" t="s">
        <v>275</v>
      </c>
      <c r="G58" s="6">
        <f t="shared" si="3"/>
        <v>0.6</v>
      </c>
      <c r="H58" s="3" t="s">
        <v>237</v>
      </c>
      <c r="I58" s="2"/>
    </row>
    <row r="59" spans="1:9" x14ac:dyDescent="0.2">
      <c r="A59" s="2" t="s">
        <v>299</v>
      </c>
      <c r="B59" s="2" t="s">
        <v>314</v>
      </c>
      <c r="C59" s="5">
        <v>5999</v>
      </c>
      <c r="D59" s="2" t="s">
        <v>315</v>
      </c>
      <c r="E59" s="2">
        <v>30</v>
      </c>
      <c r="F59" s="2" t="s">
        <v>316</v>
      </c>
      <c r="G59" s="6">
        <f t="shared" si="3"/>
        <v>199.96666666666667</v>
      </c>
      <c r="H59" s="3" t="s">
        <v>237</v>
      </c>
      <c r="I59" s="2"/>
    </row>
    <row r="60" spans="1:9" x14ac:dyDescent="0.2">
      <c r="A60" s="2" t="s">
        <v>299</v>
      </c>
      <c r="B60" s="2" t="s">
        <v>317</v>
      </c>
      <c r="C60" s="5">
        <v>8000</v>
      </c>
      <c r="D60" s="2" t="s">
        <v>318</v>
      </c>
      <c r="E60" s="2">
        <v>300</v>
      </c>
      <c r="F60" s="2" t="s">
        <v>275</v>
      </c>
      <c r="G60" s="6">
        <f t="shared" si="3"/>
        <v>26.666666666666668</v>
      </c>
      <c r="H60" s="3" t="s">
        <v>237</v>
      </c>
      <c r="I60" s="2"/>
    </row>
    <row r="61" spans="1:9" x14ac:dyDescent="0.2">
      <c r="A61" s="2" t="s">
        <v>299</v>
      </c>
      <c r="B61" s="2" t="s">
        <v>319</v>
      </c>
      <c r="C61" s="5">
        <v>4399</v>
      </c>
      <c r="D61" s="2" t="s">
        <v>320</v>
      </c>
      <c r="E61" s="2">
        <v>500</v>
      </c>
      <c r="F61" s="2" t="s">
        <v>275</v>
      </c>
      <c r="G61" s="6">
        <f t="shared" si="3"/>
        <v>8.798</v>
      </c>
      <c r="H61" s="3" t="s">
        <v>237</v>
      </c>
      <c r="I61" s="2"/>
    </row>
    <row r="62" spans="1:9" x14ac:dyDescent="0.2">
      <c r="A62" s="2" t="s">
        <v>299</v>
      </c>
      <c r="B62" s="2" t="s">
        <v>321</v>
      </c>
      <c r="C62" s="5">
        <v>1750</v>
      </c>
      <c r="D62" s="2" t="s">
        <v>322</v>
      </c>
      <c r="E62" s="2">
        <v>400</v>
      </c>
      <c r="F62" s="2" t="s">
        <v>275</v>
      </c>
      <c r="G62" s="6">
        <f t="shared" si="3"/>
        <v>4.375</v>
      </c>
      <c r="H62" s="3" t="s">
        <v>237</v>
      </c>
      <c r="I62" s="2"/>
    </row>
    <row r="63" spans="1:9" x14ac:dyDescent="0.2">
      <c r="A63" s="2" t="s">
        <v>299</v>
      </c>
      <c r="B63" s="2" t="s">
        <v>323</v>
      </c>
      <c r="C63" s="5">
        <v>4299</v>
      </c>
      <c r="D63" s="2" t="s">
        <v>324</v>
      </c>
      <c r="E63" s="2">
        <v>950</v>
      </c>
      <c r="F63" s="2" t="s">
        <v>275</v>
      </c>
      <c r="G63" s="6">
        <f t="shared" si="3"/>
        <v>4.5252631578947371</v>
      </c>
      <c r="H63" s="3" t="s">
        <v>237</v>
      </c>
      <c r="I63" s="2"/>
    </row>
    <row r="64" spans="1:9" x14ac:dyDescent="0.2">
      <c r="A64" s="2" t="s">
        <v>299</v>
      </c>
      <c r="B64" s="2" t="s">
        <v>325</v>
      </c>
      <c r="C64" s="5">
        <v>1279</v>
      </c>
      <c r="D64" s="2" t="s">
        <v>326</v>
      </c>
      <c r="E64" s="2">
        <v>250</v>
      </c>
      <c r="F64" s="2" t="s">
        <v>275</v>
      </c>
      <c r="G64" s="6">
        <f t="shared" si="3"/>
        <v>5.1159999999999997</v>
      </c>
      <c r="H64" s="3" t="s">
        <v>237</v>
      </c>
      <c r="I64" s="2"/>
    </row>
    <row r="65" spans="1:9" x14ac:dyDescent="0.2">
      <c r="A65" s="2" t="s">
        <v>299</v>
      </c>
      <c r="B65" s="2" t="s">
        <v>327</v>
      </c>
      <c r="C65" s="5">
        <v>14500</v>
      </c>
      <c r="D65" s="2" t="s">
        <v>309</v>
      </c>
      <c r="E65" s="2">
        <v>1000</v>
      </c>
      <c r="F65" s="2" t="s">
        <v>275</v>
      </c>
      <c r="G65" s="6">
        <f t="shared" si="3"/>
        <v>14.5</v>
      </c>
      <c r="H65" s="3" t="s">
        <v>237</v>
      </c>
      <c r="I65" s="2"/>
    </row>
    <row r="66" spans="1:9" x14ac:dyDescent="0.2">
      <c r="A66" s="2" t="s">
        <v>299</v>
      </c>
      <c r="B66" s="2" t="s">
        <v>328</v>
      </c>
      <c r="C66" s="5">
        <v>5699</v>
      </c>
      <c r="D66" s="2" t="s">
        <v>329</v>
      </c>
      <c r="E66" s="2">
        <v>600</v>
      </c>
      <c r="F66" s="2" t="s">
        <v>275</v>
      </c>
      <c r="G66" s="6">
        <f t="shared" si="3"/>
        <v>9.4983333333333331</v>
      </c>
      <c r="H66" s="3" t="s">
        <v>237</v>
      </c>
      <c r="I66" s="2"/>
    </row>
    <row r="67" spans="1:9" x14ac:dyDescent="0.2">
      <c r="A67" s="2" t="s">
        <v>299</v>
      </c>
      <c r="B67" s="2" t="s">
        <v>330</v>
      </c>
      <c r="C67" s="5">
        <v>1899</v>
      </c>
      <c r="D67" s="2" t="s">
        <v>320</v>
      </c>
      <c r="E67" s="2">
        <v>500</v>
      </c>
      <c r="F67" s="2" t="s">
        <v>275</v>
      </c>
      <c r="G67" s="6">
        <f t="shared" si="3"/>
        <v>3.798</v>
      </c>
      <c r="H67" s="3" t="s">
        <v>237</v>
      </c>
      <c r="I67" s="2"/>
    </row>
    <row r="68" spans="1:9" x14ac:dyDescent="0.2">
      <c r="A68" s="2" t="s">
        <v>299</v>
      </c>
      <c r="B68" s="2" t="s">
        <v>331</v>
      </c>
      <c r="C68" s="5">
        <v>1500</v>
      </c>
      <c r="D68" s="2" t="s">
        <v>332</v>
      </c>
      <c r="E68" s="2">
        <v>250</v>
      </c>
      <c r="F68" s="2" t="s">
        <v>275</v>
      </c>
      <c r="G68" s="6">
        <f t="shared" ref="G68:G99" si="4">C68/E68</f>
        <v>6</v>
      </c>
      <c r="H68" s="3" t="s">
        <v>237</v>
      </c>
      <c r="I68" s="2"/>
    </row>
    <row r="69" spans="1:9" x14ac:dyDescent="0.2">
      <c r="A69" s="2" t="s">
        <v>299</v>
      </c>
      <c r="B69" s="2" t="s">
        <v>333</v>
      </c>
      <c r="C69" s="5">
        <v>54530</v>
      </c>
      <c r="D69" s="2" t="s">
        <v>334</v>
      </c>
      <c r="E69" s="2">
        <v>10000</v>
      </c>
      <c r="F69" s="2" t="s">
        <v>275</v>
      </c>
      <c r="G69" s="6">
        <f t="shared" si="4"/>
        <v>5.4530000000000003</v>
      </c>
      <c r="H69" s="3" t="s">
        <v>237</v>
      </c>
      <c r="I69" s="2"/>
    </row>
    <row r="70" spans="1:9" x14ac:dyDescent="0.2">
      <c r="A70" s="2" t="s">
        <v>299</v>
      </c>
      <c r="B70" s="2" t="s">
        <v>335</v>
      </c>
      <c r="C70" s="5">
        <v>20000</v>
      </c>
      <c r="D70" s="2" t="s">
        <v>336</v>
      </c>
      <c r="E70" s="2">
        <v>5000</v>
      </c>
      <c r="F70" s="2" t="s">
        <v>236</v>
      </c>
      <c r="G70" s="6">
        <f t="shared" si="4"/>
        <v>4</v>
      </c>
      <c r="H70" s="3" t="s">
        <v>237</v>
      </c>
      <c r="I70" s="2"/>
    </row>
    <row r="71" spans="1:9" x14ac:dyDescent="0.2">
      <c r="A71" s="2" t="s">
        <v>299</v>
      </c>
      <c r="B71" s="2" t="s">
        <v>337</v>
      </c>
      <c r="C71" s="5">
        <v>7300</v>
      </c>
      <c r="D71" s="2" t="s">
        <v>309</v>
      </c>
      <c r="E71" s="2">
        <v>1000</v>
      </c>
      <c r="F71" s="2" t="s">
        <v>275</v>
      </c>
      <c r="G71" s="6">
        <f t="shared" si="4"/>
        <v>7.3</v>
      </c>
      <c r="H71" s="3" t="s">
        <v>237</v>
      </c>
      <c r="I71" s="2"/>
    </row>
    <row r="72" spans="1:9" x14ac:dyDescent="0.2">
      <c r="A72" s="2" t="s">
        <v>338</v>
      </c>
      <c r="B72" s="2" t="s">
        <v>339</v>
      </c>
      <c r="C72" s="5">
        <v>20000</v>
      </c>
      <c r="D72" s="2" t="s">
        <v>309</v>
      </c>
      <c r="E72" s="2">
        <v>1000</v>
      </c>
      <c r="F72" s="2" t="s">
        <v>275</v>
      </c>
      <c r="G72" s="6">
        <f t="shared" si="4"/>
        <v>20</v>
      </c>
      <c r="H72" s="3" t="s">
        <v>237</v>
      </c>
      <c r="I72" s="2"/>
    </row>
    <row r="73" spans="1:9" x14ac:dyDescent="0.2">
      <c r="A73" s="2" t="s">
        <v>338</v>
      </c>
      <c r="B73" s="2" t="s">
        <v>340</v>
      </c>
      <c r="C73" s="5">
        <v>25900</v>
      </c>
      <c r="D73" s="2" t="s">
        <v>309</v>
      </c>
      <c r="E73" s="2">
        <v>1000</v>
      </c>
      <c r="F73" s="2" t="s">
        <v>275</v>
      </c>
      <c r="G73" s="6">
        <f t="shared" si="4"/>
        <v>25.9</v>
      </c>
      <c r="H73" s="3" t="s">
        <v>237</v>
      </c>
      <c r="I73" s="2"/>
    </row>
    <row r="74" spans="1:9" x14ac:dyDescent="0.2">
      <c r="A74" s="2" t="s">
        <v>338</v>
      </c>
      <c r="B74" s="2" t="s">
        <v>341</v>
      </c>
      <c r="C74" s="5">
        <v>20000</v>
      </c>
      <c r="D74" s="2" t="s">
        <v>342</v>
      </c>
      <c r="E74" s="2">
        <v>4</v>
      </c>
      <c r="F74" s="2" t="s">
        <v>316</v>
      </c>
      <c r="G74" s="6">
        <f t="shared" si="4"/>
        <v>5000</v>
      </c>
      <c r="H74" s="3" t="s">
        <v>237</v>
      </c>
      <c r="I74" s="2"/>
    </row>
    <row r="75" spans="1:9" x14ac:dyDescent="0.2">
      <c r="A75" s="2" t="s">
        <v>338</v>
      </c>
      <c r="B75" s="2" t="s">
        <v>343</v>
      </c>
      <c r="C75" s="5">
        <v>10279</v>
      </c>
      <c r="D75" s="2" t="s">
        <v>322</v>
      </c>
      <c r="E75" s="2">
        <v>400</v>
      </c>
      <c r="F75" s="2" t="s">
        <v>275</v>
      </c>
      <c r="G75" s="6">
        <f t="shared" si="4"/>
        <v>25.697500000000002</v>
      </c>
      <c r="H75" s="3" t="s">
        <v>237</v>
      </c>
      <c r="I75" s="2"/>
    </row>
    <row r="76" spans="1:9" x14ac:dyDescent="0.2">
      <c r="A76" s="2" t="s">
        <v>338</v>
      </c>
      <c r="B76" s="2" t="s">
        <v>344</v>
      </c>
      <c r="C76" s="5">
        <v>2999</v>
      </c>
      <c r="D76" s="2" t="s">
        <v>309</v>
      </c>
      <c r="E76" s="2">
        <v>1000</v>
      </c>
      <c r="F76" s="2" t="s">
        <v>275</v>
      </c>
      <c r="G76" s="6">
        <f t="shared" si="4"/>
        <v>2.9990000000000001</v>
      </c>
      <c r="H76" s="3" t="s">
        <v>237</v>
      </c>
      <c r="I76" s="2"/>
    </row>
    <row r="77" spans="1:9" x14ac:dyDescent="0.2">
      <c r="A77" s="2" t="s">
        <v>338</v>
      </c>
      <c r="B77" s="2" t="s">
        <v>345</v>
      </c>
      <c r="C77" s="5">
        <v>57400</v>
      </c>
      <c r="D77" s="2" t="s">
        <v>309</v>
      </c>
      <c r="E77" s="2">
        <v>1000</v>
      </c>
      <c r="F77" s="2" t="s">
        <v>275</v>
      </c>
      <c r="G77" s="6">
        <f t="shared" si="4"/>
        <v>57.4</v>
      </c>
      <c r="H77" s="3" t="s">
        <v>237</v>
      </c>
      <c r="I77" s="2"/>
    </row>
    <row r="78" spans="1:9" x14ac:dyDescent="0.2">
      <c r="A78" s="2" t="s">
        <v>338</v>
      </c>
      <c r="B78" s="2" t="s">
        <v>346</v>
      </c>
      <c r="C78" s="5">
        <v>25000</v>
      </c>
      <c r="D78" s="2" t="s">
        <v>309</v>
      </c>
      <c r="E78" s="2">
        <v>1000</v>
      </c>
      <c r="F78" s="2" t="s">
        <v>275</v>
      </c>
      <c r="G78" s="6">
        <f t="shared" si="4"/>
        <v>25</v>
      </c>
      <c r="H78" s="3" t="s">
        <v>237</v>
      </c>
      <c r="I78" s="2"/>
    </row>
    <row r="79" spans="1:9" x14ac:dyDescent="0.2">
      <c r="A79" s="2" t="s">
        <v>338</v>
      </c>
      <c r="B79" s="2" t="s">
        <v>347</v>
      </c>
      <c r="C79" s="5">
        <v>13990</v>
      </c>
      <c r="D79" s="2" t="s">
        <v>309</v>
      </c>
      <c r="E79" s="2">
        <v>1000</v>
      </c>
      <c r="F79" s="2" t="s">
        <v>275</v>
      </c>
      <c r="G79" s="6">
        <f t="shared" si="4"/>
        <v>13.99</v>
      </c>
      <c r="H79" s="3" t="s">
        <v>237</v>
      </c>
      <c r="I79" s="2"/>
    </row>
    <row r="80" spans="1:9" x14ac:dyDescent="0.2">
      <c r="A80" s="2" t="s">
        <v>348</v>
      </c>
      <c r="B80" s="2" t="s">
        <v>349</v>
      </c>
      <c r="C80" s="5">
        <v>14500</v>
      </c>
      <c r="D80" s="2" t="s">
        <v>309</v>
      </c>
      <c r="E80" s="2">
        <v>1000</v>
      </c>
      <c r="F80" s="2" t="s">
        <v>275</v>
      </c>
      <c r="G80" s="6">
        <f t="shared" si="4"/>
        <v>14.5</v>
      </c>
      <c r="H80" s="3" t="s">
        <v>237</v>
      </c>
      <c r="I80" s="2"/>
    </row>
    <row r="81" spans="1:9" x14ac:dyDescent="0.2">
      <c r="A81" s="2" t="s">
        <v>348</v>
      </c>
      <c r="B81" s="2" t="s">
        <v>350</v>
      </c>
      <c r="C81" s="5">
        <v>70850</v>
      </c>
      <c r="D81" s="2" t="s">
        <v>351</v>
      </c>
      <c r="E81" s="2">
        <v>3700</v>
      </c>
      <c r="F81" s="2" t="s">
        <v>275</v>
      </c>
      <c r="G81" s="6">
        <f t="shared" si="4"/>
        <v>19.148648648648649</v>
      </c>
      <c r="H81" s="3" t="s">
        <v>237</v>
      </c>
      <c r="I81" s="2"/>
    </row>
    <row r="82" spans="1:9" x14ac:dyDescent="0.2">
      <c r="A82" s="2" t="s">
        <v>348</v>
      </c>
      <c r="B82" s="2" t="s">
        <v>352</v>
      </c>
      <c r="C82" s="5">
        <v>50000</v>
      </c>
      <c r="D82" s="2" t="s">
        <v>353</v>
      </c>
      <c r="E82" s="2">
        <v>1750</v>
      </c>
      <c r="F82" s="2" t="s">
        <v>275</v>
      </c>
      <c r="G82" s="6">
        <f t="shared" si="4"/>
        <v>28.571428571428573</v>
      </c>
      <c r="H82" s="3" t="s">
        <v>237</v>
      </c>
      <c r="I82" s="2"/>
    </row>
    <row r="83" spans="1:9" x14ac:dyDescent="0.2">
      <c r="A83" s="2" t="s">
        <v>348</v>
      </c>
      <c r="B83" s="2" t="s">
        <v>354</v>
      </c>
      <c r="C83" s="5">
        <v>16300</v>
      </c>
      <c r="D83" s="2" t="s">
        <v>309</v>
      </c>
      <c r="E83" s="2">
        <v>1000</v>
      </c>
      <c r="F83" s="2" t="s">
        <v>275</v>
      </c>
      <c r="G83" s="6">
        <f t="shared" si="4"/>
        <v>16.3</v>
      </c>
      <c r="H83" s="3" t="s">
        <v>237</v>
      </c>
      <c r="I83" s="2"/>
    </row>
    <row r="84" spans="1:9" x14ac:dyDescent="0.2">
      <c r="A84" s="2" t="s">
        <v>355</v>
      </c>
      <c r="B84" s="2" t="s">
        <v>356</v>
      </c>
      <c r="C84" s="5">
        <v>25900</v>
      </c>
      <c r="D84" s="2" t="s">
        <v>309</v>
      </c>
      <c r="E84" s="2">
        <v>1000</v>
      </c>
      <c r="F84" s="2" t="s">
        <v>275</v>
      </c>
      <c r="G84" s="6">
        <f t="shared" si="4"/>
        <v>25.9</v>
      </c>
      <c r="H84" s="3" t="s">
        <v>237</v>
      </c>
      <c r="I84" s="2"/>
    </row>
    <row r="85" spans="1:9" x14ac:dyDescent="0.2">
      <c r="A85" s="2" t="s">
        <v>355</v>
      </c>
      <c r="B85" s="2" t="s">
        <v>357</v>
      </c>
      <c r="C85" s="5">
        <v>8469.9</v>
      </c>
      <c r="D85" s="2" t="s">
        <v>309</v>
      </c>
      <c r="E85" s="2">
        <v>1000</v>
      </c>
      <c r="F85" s="2" t="s">
        <v>275</v>
      </c>
      <c r="G85" s="6">
        <f t="shared" si="4"/>
        <v>8.4698999999999991</v>
      </c>
      <c r="H85" s="3" t="s">
        <v>237</v>
      </c>
      <c r="I85" s="2"/>
    </row>
    <row r="86" spans="1:9" x14ac:dyDescent="0.2">
      <c r="A86" s="2" t="s">
        <v>355</v>
      </c>
      <c r="B86" s="2" t="s">
        <v>358</v>
      </c>
      <c r="C86" s="5">
        <v>3999</v>
      </c>
      <c r="D86" s="2" t="s">
        <v>359</v>
      </c>
      <c r="E86" s="2">
        <v>226</v>
      </c>
      <c r="F86" s="2" t="s">
        <v>275</v>
      </c>
      <c r="G86" s="6">
        <f t="shared" si="4"/>
        <v>17.694690265486727</v>
      </c>
      <c r="H86" s="3" t="s">
        <v>237</v>
      </c>
      <c r="I86" s="2"/>
    </row>
    <row r="87" spans="1:9" x14ac:dyDescent="0.2">
      <c r="A87" s="2" t="s">
        <v>355</v>
      </c>
      <c r="B87" s="2" t="s">
        <v>360</v>
      </c>
      <c r="C87" s="5">
        <v>72000</v>
      </c>
      <c r="D87" s="2" t="s">
        <v>361</v>
      </c>
      <c r="E87" s="2">
        <v>5000</v>
      </c>
      <c r="F87" s="2" t="s">
        <v>275</v>
      </c>
      <c r="G87" s="6">
        <f t="shared" si="4"/>
        <v>14.4</v>
      </c>
      <c r="H87" s="3" t="s">
        <v>237</v>
      </c>
      <c r="I87" s="2"/>
    </row>
    <row r="88" spans="1:9" x14ac:dyDescent="0.2">
      <c r="A88" s="2" t="s">
        <v>355</v>
      </c>
      <c r="B88" s="2" t="s">
        <v>362</v>
      </c>
      <c r="C88" s="5">
        <v>14890</v>
      </c>
      <c r="D88" s="2" t="s">
        <v>309</v>
      </c>
      <c r="E88" s="2">
        <v>1000</v>
      </c>
      <c r="F88" s="2" t="s">
        <v>275</v>
      </c>
      <c r="G88" s="6">
        <f t="shared" si="4"/>
        <v>14.89</v>
      </c>
      <c r="H88" s="3" t="s">
        <v>237</v>
      </c>
      <c r="I88" s="2"/>
    </row>
    <row r="89" spans="1:9" x14ac:dyDescent="0.2">
      <c r="A89" s="2" t="s">
        <v>355</v>
      </c>
      <c r="B89" s="2" t="s">
        <v>363</v>
      </c>
      <c r="C89" s="5">
        <v>33000</v>
      </c>
      <c r="D89" s="2" t="s">
        <v>309</v>
      </c>
      <c r="E89" s="2">
        <v>1000</v>
      </c>
      <c r="F89" s="2" t="s">
        <v>275</v>
      </c>
      <c r="G89" s="6">
        <f t="shared" si="4"/>
        <v>33</v>
      </c>
      <c r="H89" s="3" t="s">
        <v>237</v>
      </c>
      <c r="I89" s="2"/>
    </row>
    <row r="90" spans="1:9" x14ac:dyDescent="0.2">
      <c r="A90" s="2" t="s">
        <v>355</v>
      </c>
      <c r="B90" s="2" t="s">
        <v>364</v>
      </c>
      <c r="C90" s="5">
        <v>21900</v>
      </c>
      <c r="D90" s="2" t="s">
        <v>309</v>
      </c>
      <c r="E90" s="2">
        <v>1000</v>
      </c>
      <c r="F90" s="2" t="s">
        <v>275</v>
      </c>
      <c r="G90" s="6">
        <f t="shared" si="4"/>
        <v>21.9</v>
      </c>
      <c r="H90" s="3" t="s">
        <v>237</v>
      </c>
      <c r="I90" s="2"/>
    </row>
    <row r="91" spans="1:9" x14ac:dyDescent="0.2">
      <c r="A91" s="2" t="s">
        <v>355</v>
      </c>
      <c r="B91" s="2" t="s">
        <v>365</v>
      </c>
      <c r="C91" s="5">
        <v>70000</v>
      </c>
      <c r="D91" s="2" t="s">
        <v>366</v>
      </c>
      <c r="E91" s="2">
        <v>4000</v>
      </c>
      <c r="F91" s="2" t="s">
        <v>275</v>
      </c>
      <c r="G91" s="6">
        <f t="shared" si="4"/>
        <v>17.5</v>
      </c>
      <c r="H91" s="3" t="s">
        <v>237</v>
      </c>
      <c r="I91" s="2"/>
    </row>
    <row r="92" spans="1:9" x14ac:dyDescent="0.2">
      <c r="A92" s="2" t="s">
        <v>367</v>
      </c>
      <c r="B92" s="2" t="s">
        <v>368</v>
      </c>
      <c r="C92" s="5">
        <v>5000</v>
      </c>
      <c r="D92" s="2" t="s">
        <v>309</v>
      </c>
      <c r="E92" s="2">
        <v>1000</v>
      </c>
      <c r="F92" s="2" t="s">
        <v>275</v>
      </c>
      <c r="G92" s="6">
        <f t="shared" si="4"/>
        <v>5</v>
      </c>
      <c r="H92" s="3" t="s">
        <v>237</v>
      </c>
      <c r="I92" s="2"/>
    </row>
    <row r="93" spans="1:9" x14ac:dyDescent="0.2">
      <c r="A93" s="2" t="s">
        <v>367</v>
      </c>
      <c r="B93" s="2" t="s">
        <v>369</v>
      </c>
      <c r="C93" s="5">
        <v>2300</v>
      </c>
      <c r="D93" s="2" t="s">
        <v>370</v>
      </c>
      <c r="E93" s="2">
        <v>1</v>
      </c>
      <c r="F93" s="2" t="s">
        <v>316</v>
      </c>
      <c r="G93" s="6">
        <f t="shared" si="4"/>
        <v>2300</v>
      </c>
      <c r="H93" s="3" t="s">
        <v>237</v>
      </c>
      <c r="I93" s="2"/>
    </row>
    <row r="94" spans="1:9" x14ac:dyDescent="0.2">
      <c r="A94" s="2" t="s">
        <v>367</v>
      </c>
      <c r="B94" s="2" t="s">
        <v>371</v>
      </c>
      <c r="C94" s="5">
        <v>7000</v>
      </c>
      <c r="D94" s="2" t="s">
        <v>309</v>
      </c>
      <c r="E94" s="2">
        <v>1000</v>
      </c>
      <c r="F94" s="2" t="s">
        <v>275</v>
      </c>
      <c r="G94" s="6">
        <f t="shared" si="4"/>
        <v>7</v>
      </c>
      <c r="H94" s="3" t="s">
        <v>237</v>
      </c>
      <c r="I94" s="2"/>
    </row>
    <row r="95" spans="1:9" x14ac:dyDescent="0.2">
      <c r="A95" s="2" t="s">
        <v>367</v>
      </c>
      <c r="B95" s="2" t="s">
        <v>372</v>
      </c>
      <c r="C95" s="5">
        <v>7000</v>
      </c>
      <c r="D95" s="2" t="s">
        <v>309</v>
      </c>
      <c r="E95" s="2">
        <v>1000</v>
      </c>
      <c r="F95" s="2" t="s">
        <v>275</v>
      </c>
      <c r="G95" s="6">
        <f t="shared" si="4"/>
        <v>7</v>
      </c>
      <c r="H95" s="3" t="s">
        <v>237</v>
      </c>
      <c r="I95" s="2"/>
    </row>
    <row r="96" spans="1:9" x14ac:dyDescent="0.2">
      <c r="A96" s="2" t="s">
        <v>367</v>
      </c>
      <c r="B96" s="2" t="s">
        <v>373</v>
      </c>
      <c r="C96" s="5">
        <v>4409</v>
      </c>
      <c r="D96" s="2" t="s">
        <v>374</v>
      </c>
      <c r="E96" s="2">
        <v>560</v>
      </c>
      <c r="F96" s="2" t="s">
        <v>275</v>
      </c>
      <c r="G96" s="6">
        <f t="shared" si="4"/>
        <v>7.8732142857142859</v>
      </c>
      <c r="H96" s="3" t="s">
        <v>237</v>
      </c>
      <c r="I96" s="2"/>
    </row>
    <row r="97" spans="1:9" x14ac:dyDescent="0.2">
      <c r="A97" s="2" t="s">
        <v>367</v>
      </c>
      <c r="B97" s="2" t="s">
        <v>375</v>
      </c>
      <c r="C97" s="5">
        <v>2000</v>
      </c>
      <c r="D97" s="2" t="s">
        <v>376</v>
      </c>
      <c r="E97" s="2">
        <v>210</v>
      </c>
      <c r="F97" s="2" t="s">
        <v>275</v>
      </c>
      <c r="G97" s="6">
        <f t="shared" si="4"/>
        <v>9.5238095238095237</v>
      </c>
      <c r="H97" s="3" t="s">
        <v>237</v>
      </c>
      <c r="I97" s="2"/>
    </row>
    <row r="98" spans="1:9" x14ac:dyDescent="0.2">
      <c r="A98" s="2" t="s">
        <v>367</v>
      </c>
      <c r="B98" s="2" t="s">
        <v>377</v>
      </c>
      <c r="C98" s="5">
        <v>4100</v>
      </c>
      <c r="D98" s="2" t="s">
        <v>378</v>
      </c>
      <c r="E98" s="2">
        <v>460</v>
      </c>
      <c r="F98" s="2" t="s">
        <v>275</v>
      </c>
      <c r="G98" s="6">
        <f t="shared" si="4"/>
        <v>8.9130434782608692</v>
      </c>
      <c r="H98" s="3" t="s">
        <v>237</v>
      </c>
      <c r="I98" s="2"/>
    </row>
    <row r="99" spans="1:9" x14ac:dyDescent="0.2">
      <c r="A99" s="2" t="s">
        <v>379</v>
      </c>
      <c r="B99" s="2" t="s">
        <v>380</v>
      </c>
      <c r="C99" s="5">
        <v>4500</v>
      </c>
      <c r="D99" s="2" t="s">
        <v>381</v>
      </c>
      <c r="E99" s="2">
        <v>1</v>
      </c>
      <c r="F99" s="2" t="s">
        <v>316</v>
      </c>
      <c r="G99" s="6">
        <f t="shared" si="4"/>
        <v>4500</v>
      </c>
      <c r="H99" s="3" t="s">
        <v>237</v>
      </c>
      <c r="I99" s="2"/>
    </row>
    <row r="100" spans="1:9" x14ac:dyDescent="0.2">
      <c r="A100" s="2" t="s">
        <v>379</v>
      </c>
      <c r="B100" s="2" t="s">
        <v>382</v>
      </c>
      <c r="C100" s="5">
        <v>21000</v>
      </c>
      <c r="D100" s="2" t="s">
        <v>309</v>
      </c>
      <c r="E100" s="2">
        <v>1000</v>
      </c>
      <c r="F100" s="2" t="s">
        <v>275</v>
      </c>
      <c r="G100" s="6">
        <f t="shared" ref="G100:G119" si="5">C100/E100</f>
        <v>21</v>
      </c>
      <c r="H100" s="3" t="s">
        <v>237</v>
      </c>
      <c r="I100" s="2"/>
    </row>
    <row r="101" spans="1:9" x14ac:dyDescent="0.2">
      <c r="A101" s="2" t="s">
        <v>379</v>
      </c>
      <c r="B101" s="2" t="s">
        <v>383</v>
      </c>
      <c r="C101" s="5">
        <v>30000</v>
      </c>
      <c r="D101" s="2" t="s">
        <v>309</v>
      </c>
      <c r="E101" s="2">
        <v>1000</v>
      </c>
      <c r="F101" s="2" t="s">
        <v>275</v>
      </c>
      <c r="G101" s="6">
        <f t="shared" si="5"/>
        <v>30</v>
      </c>
      <c r="H101" s="3" t="s">
        <v>237</v>
      </c>
      <c r="I101" s="2"/>
    </row>
    <row r="102" spans="1:9" x14ac:dyDescent="0.2">
      <c r="A102" s="2" t="s">
        <v>379</v>
      </c>
      <c r="B102" s="2" t="s">
        <v>384</v>
      </c>
      <c r="C102" s="5">
        <v>11000</v>
      </c>
      <c r="D102" s="2" t="s">
        <v>385</v>
      </c>
      <c r="E102" s="2">
        <v>320</v>
      </c>
      <c r="F102" s="2" t="s">
        <v>275</v>
      </c>
      <c r="G102" s="6">
        <f t="shared" si="5"/>
        <v>34.375</v>
      </c>
      <c r="H102" s="3" t="s">
        <v>237</v>
      </c>
      <c r="I102" s="2"/>
    </row>
    <row r="103" spans="1:9" x14ac:dyDescent="0.2">
      <c r="A103" s="2" t="s">
        <v>386</v>
      </c>
      <c r="B103" s="2" t="s">
        <v>387</v>
      </c>
      <c r="C103" s="5">
        <v>18000</v>
      </c>
      <c r="D103" s="2" t="s">
        <v>309</v>
      </c>
      <c r="E103" s="2">
        <v>1000</v>
      </c>
      <c r="F103" s="2" t="s">
        <v>275</v>
      </c>
      <c r="G103" s="6">
        <f t="shared" si="5"/>
        <v>18</v>
      </c>
      <c r="H103" s="3" t="s">
        <v>237</v>
      </c>
      <c r="I103" s="2"/>
    </row>
    <row r="104" spans="1:9" x14ac:dyDescent="0.2">
      <c r="A104" s="2" t="s">
        <v>386</v>
      </c>
      <c r="B104" s="2" t="s">
        <v>388</v>
      </c>
      <c r="C104" s="5">
        <v>5199</v>
      </c>
      <c r="D104" s="2" t="s">
        <v>309</v>
      </c>
      <c r="E104" s="2">
        <v>1000</v>
      </c>
      <c r="F104" s="2" t="s">
        <v>275</v>
      </c>
      <c r="G104" s="6">
        <f t="shared" si="5"/>
        <v>5.1989999999999998</v>
      </c>
      <c r="H104" s="3" t="s">
        <v>237</v>
      </c>
      <c r="I104" s="2"/>
    </row>
    <row r="105" spans="1:9" x14ac:dyDescent="0.2">
      <c r="A105" s="2" t="s">
        <v>386</v>
      </c>
      <c r="B105" s="2" t="s">
        <v>389</v>
      </c>
      <c r="C105" s="5">
        <v>2199</v>
      </c>
      <c r="D105" s="2" t="s">
        <v>309</v>
      </c>
      <c r="E105" s="2">
        <v>1000</v>
      </c>
      <c r="F105" s="2" t="s">
        <v>275</v>
      </c>
      <c r="G105" s="6">
        <f t="shared" si="5"/>
        <v>2.1989999999999998</v>
      </c>
      <c r="H105" s="3" t="s">
        <v>237</v>
      </c>
      <c r="I105" s="2"/>
    </row>
    <row r="106" spans="1:9" x14ac:dyDescent="0.2">
      <c r="A106" s="2" t="s">
        <v>386</v>
      </c>
      <c r="B106" s="2" t="s">
        <v>390</v>
      </c>
      <c r="C106" s="5">
        <v>2199</v>
      </c>
      <c r="D106" s="2" t="s">
        <v>309</v>
      </c>
      <c r="E106" s="2">
        <v>1000</v>
      </c>
      <c r="F106" s="2" t="s">
        <v>275</v>
      </c>
      <c r="G106" s="6">
        <f t="shared" si="5"/>
        <v>2.1989999999999998</v>
      </c>
      <c r="H106" s="3" t="s">
        <v>237</v>
      </c>
      <c r="I106" s="2"/>
    </row>
    <row r="107" spans="1:9" x14ac:dyDescent="0.2">
      <c r="A107" s="2" t="s">
        <v>386</v>
      </c>
      <c r="B107" s="2" t="s">
        <v>391</v>
      </c>
      <c r="C107" s="5">
        <v>1999</v>
      </c>
      <c r="D107" s="2" t="s">
        <v>309</v>
      </c>
      <c r="E107" s="2">
        <v>1000</v>
      </c>
      <c r="F107" s="2" t="s">
        <v>275</v>
      </c>
      <c r="G107" s="6">
        <f t="shared" si="5"/>
        <v>1.9990000000000001</v>
      </c>
      <c r="H107" s="3" t="s">
        <v>237</v>
      </c>
      <c r="I107" s="2"/>
    </row>
    <row r="108" spans="1:9" x14ac:dyDescent="0.2">
      <c r="A108" s="2" t="s">
        <v>386</v>
      </c>
      <c r="B108" s="2" t="s">
        <v>392</v>
      </c>
      <c r="C108" s="5">
        <v>2899</v>
      </c>
      <c r="D108" s="2" t="s">
        <v>309</v>
      </c>
      <c r="E108" s="2">
        <v>1000</v>
      </c>
      <c r="F108" s="2" t="s">
        <v>275</v>
      </c>
      <c r="G108" s="6">
        <f t="shared" si="5"/>
        <v>2.899</v>
      </c>
      <c r="H108" s="3" t="s">
        <v>237</v>
      </c>
      <c r="I108" s="2"/>
    </row>
    <row r="109" spans="1:9" x14ac:dyDescent="0.2">
      <c r="A109" s="2" t="s">
        <v>386</v>
      </c>
      <c r="B109" s="2" t="s">
        <v>393</v>
      </c>
      <c r="C109" s="5">
        <v>1500</v>
      </c>
      <c r="D109" s="2" t="s">
        <v>309</v>
      </c>
      <c r="E109" s="2">
        <v>1000</v>
      </c>
      <c r="F109" s="2" t="s">
        <v>275</v>
      </c>
      <c r="G109" s="6">
        <f t="shared" si="5"/>
        <v>1.5</v>
      </c>
      <c r="H109" s="3" t="s">
        <v>237</v>
      </c>
      <c r="I109" s="2"/>
    </row>
    <row r="110" spans="1:9" x14ac:dyDescent="0.2">
      <c r="A110" s="2" t="s">
        <v>386</v>
      </c>
      <c r="B110" s="2" t="s">
        <v>394</v>
      </c>
      <c r="C110" s="5">
        <v>8500</v>
      </c>
      <c r="D110" s="2" t="s">
        <v>309</v>
      </c>
      <c r="E110" s="2">
        <v>1000</v>
      </c>
      <c r="F110" s="2" t="s">
        <v>275</v>
      </c>
      <c r="G110" s="6">
        <f t="shared" si="5"/>
        <v>8.5</v>
      </c>
      <c r="H110" s="3" t="s">
        <v>237</v>
      </c>
      <c r="I110" s="2"/>
    </row>
    <row r="111" spans="1:9" x14ac:dyDescent="0.2">
      <c r="A111" s="2" t="s">
        <v>386</v>
      </c>
      <c r="B111" s="2" t="s">
        <v>395</v>
      </c>
      <c r="C111" s="5">
        <v>2500</v>
      </c>
      <c r="D111" s="2" t="s">
        <v>309</v>
      </c>
      <c r="E111" s="2">
        <v>1000</v>
      </c>
      <c r="F111" s="2" t="s">
        <v>275</v>
      </c>
      <c r="G111" s="6">
        <f t="shared" si="5"/>
        <v>2.5</v>
      </c>
      <c r="H111" s="3" t="s">
        <v>237</v>
      </c>
      <c r="I111" s="2"/>
    </row>
    <row r="112" spans="1:9" x14ac:dyDescent="0.2">
      <c r="A112" s="2" t="s">
        <v>386</v>
      </c>
      <c r="B112" s="2" t="s">
        <v>396</v>
      </c>
      <c r="C112" s="5">
        <v>3000</v>
      </c>
      <c r="D112" s="2" t="s">
        <v>309</v>
      </c>
      <c r="E112" s="2">
        <v>1000</v>
      </c>
      <c r="F112" s="2" t="s">
        <v>275</v>
      </c>
      <c r="G112" s="6">
        <f t="shared" si="5"/>
        <v>3</v>
      </c>
      <c r="H112" s="3" t="s">
        <v>237</v>
      </c>
      <c r="I112" s="2"/>
    </row>
    <row r="113" spans="1:9" x14ac:dyDescent="0.2">
      <c r="A113" s="2" t="s">
        <v>386</v>
      </c>
      <c r="B113" s="2" t="s">
        <v>397</v>
      </c>
      <c r="C113" s="5">
        <v>10000</v>
      </c>
      <c r="D113" s="2" t="s">
        <v>309</v>
      </c>
      <c r="E113" s="2">
        <v>1000</v>
      </c>
      <c r="F113" s="2" t="s">
        <v>275</v>
      </c>
      <c r="G113" s="6">
        <f t="shared" si="5"/>
        <v>10</v>
      </c>
      <c r="H113" s="3" t="s">
        <v>237</v>
      </c>
      <c r="I113" s="2"/>
    </row>
    <row r="114" spans="1:9" x14ac:dyDescent="0.2">
      <c r="A114" s="2" t="s">
        <v>386</v>
      </c>
      <c r="B114" s="2" t="s">
        <v>398</v>
      </c>
      <c r="C114" s="5">
        <v>849</v>
      </c>
      <c r="D114" s="2" t="s">
        <v>381</v>
      </c>
      <c r="E114" s="2">
        <v>1</v>
      </c>
      <c r="F114" s="2" t="s">
        <v>316</v>
      </c>
      <c r="G114" s="6">
        <f t="shared" si="5"/>
        <v>849</v>
      </c>
      <c r="H114" s="3" t="s">
        <v>237</v>
      </c>
      <c r="I114" s="2"/>
    </row>
    <row r="115" spans="1:9" x14ac:dyDescent="0.2">
      <c r="A115" s="2" t="s">
        <v>386</v>
      </c>
      <c r="B115" s="2" t="s">
        <v>399</v>
      </c>
      <c r="C115" s="5">
        <v>5500</v>
      </c>
      <c r="D115" s="2" t="s">
        <v>309</v>
      </c>
      <c r="E115" s="2">
        <v>1000</v>
      </c>
      <c r="F115" s="2" t="s">
        <v>275</v>
      </c>
      <c r="G115" s="6">
        <f t="shared" si="5"/>
        <v>5.5</v>
      </c>
      <c r="H115" s="3" t="s">
        <v>237</v>
      </c>
      <c r="I115" s="2"/>
    </row>
    <row r="116" spans="1:9" x14ac:dyDescent="0.2">
      <c r="A116" s="2" t="s">
        <v>386</v>
      </c>
      <c r="B116" s="2" t="s">
        <v>400</v>
      </c>
      <c r="C116" s="5">
        <v>2500</v>
      </c>
      <c r="D116" s="2" t="s">
        <v>309</v>
      </c>
      <c r="E116" s="2">
        <v>1000</v>
      </c>
      <c r="F116" s="2" t="s">
        <v>275</v>
      </c>
      <c r="G116" s="6">
        <f t="shared" si="5"/>
        <v>2.5</v>
      </c>
      <c r="H116" s="3" t="s">
        <v>237</v>
      </c>
      <c r="I116" s="2"/>
    </row>
    <row r="117" spans="1:9" x14ac:dyDescent="0.2">
      <c r="A117" s="2" t="s">
        <v>386</v>
      </c>
      <c r="B117" s="2" t="s">
        <v>401</v>
      </c>
      <c r="C117" s="5">
        <v>5500</v>
      </c>
      <c r="D117" s="2" t="s">
        <v>309</v>
      </c>
      <c r="E117" s="2">
        <v>1000</v>
      </c>
      <c r="F117" s="2" t="s">
        <v>275</v>
      </c>
      <c r="G117" s="6">
        <f t="shared" si="5"/>
        <v>5.5</v>
      </c>
      <c r="H117" s="3" t="s">
        <v>237</v>
      </c>
      <c r="I117" s="2"/>
    </row>
    <row r="118" spans="1:9" x14ac:dyDescent="0.2">
      <c r="A118" s="2" t="s">
        <v>386</v>
      </c>
      <c r="B118" s="2" t="s">
        <v>402</v>
      </c>
      <c r="C118" s="5">
        <v>1399</v>
      </c>
      <c r="D118" s="2" t="s">
        <v>309</v>
      </c>
      <c r="E118" s="2">
        <v>1000</v>
      </c>
      <c r="F118" s="2" t="s">
        <v>275</v>
      </c>
      <c r="G118" s="6">
        <f t="shared" si="5"/>
        <v>1.399</v>
      </c>
      <c r="H118" s="3" t="s">
        <v>237</v>
      </c>
      <c r="I118" s="2"/>
    </row>
    <row r="119" spans="1:9" x14ac:dyDescent="0.2">
      <c r="A119" s="2" t="s">
        <v>386</v>
      </c>
      <c r="B119" s="2" t="s">
        <v>403</v>
      </c>
      <c r="C119" s="5">
        <v>3800</v>
      </c>
      <c r="D119" s="2" t="s">
        <v>309</v>
      </c>
      <c r="E119" s="2">
        <v>1000</v>
      </c>
      <c r="F119" s="2" t="s">
        <v>275</v>
      </c>
      <c r="G119" s="6">
        <f t="shared" si="5"/>
        <v>3.8</v>
      </c>
      <c r="H119" s="3" t="s">
        <v>237</v>
      </c>
      <c r="I119" s="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"/>
  <sheetViews>
    <sheetView zoomScale="168" zoomScaleNormal="100" workbookViewId="0">
      <pane ySplit="1" topLeftCell="A2" activePane="bottomLeft" state="frozen"/>
      <selection pane="bottomLeft" activeCell="B16" sqref="B16"/>
    </sheetView>
  </sheetViews>
  <sheetFormatPr baseColWidth="10" defaultColWidth="8.6640625" defaultRowHeight="15" x14ac:dyDescent="0.2"/>
  <cols>
    <col min="1" max="1" width="22" customWidth="1"/>
    <col min="2" max="3" width="12" customWidth="1"/>
    <col min="4" max="4" width="30" customWidth="1"/>
    <col min="5" max="5" width="24" customWidth="1"/>
  </cols>
  <sheetData>
    <row r="1" spans="1:5" ht="30" customHeight="1" x14ac:dyDescent="0.2">
      <c r="A1" s="1" t="s">
        <v>404</v>
      </c>
      <c r="B1" s="1" t="s">
        <v>405</v>
      </c>
      <c r="C1" s="1" t="s">
        <v>229</v>
      </c>
      <c r="D1" s="1" t="s">
        <v>406</v>
      </c>
      <c r="E1" s="1" t="s">
        <v>407</v>
      </c>
    </row>
    <row r="2" spans="1:5" x14ac:dyDescent="0.2">
      <c r="A2" s="3" t="s">
        <v>408</v>
      </c>
      <c r="B2" s="3" t="s">
        <v>409</v>
      </c>
      <c r="C2" s="3" t="s">
        <v>275</v>
      </c>
      <c r="D2" s="3" t="s">
        <v>410</v>
      </c>
      <c r="E2" s="26" t="s">
        <v>752</v>
      </c>
    </row>
    <row r="3" spans="1:5" x14ac:dyDescent="0.2">
      <c r="A3" s="3" t="s">
        <v>411</v>
      </c>
      <c r="B3" s="3" t="s">
        <v>412</v>
      </c>
      <c r="C3" s="3" t="s">
        <v>275</v>
      </c>
      <c r="D3" s="3" t="s">
        <v>413</v>
      </c>
      <c r="E3" s="26" t="s">
        <v>752</v>
      </c>
    </row>
    <row r="4" spans="1:5" x14ac:dyDescent="0.2">
      <c r="A4" s="3" t="s">
        <v>414</v>
      </c>
      <c r="B4" s="3" t="s">
        <v>415</v>
      </c>
      <c r="C4" s="3" t="s">
        <v>275</v>
      </c>
      <c r="D4" s="3" t="s">
        <v>416</v>
      </c>
      <c r="E4" s="26" t="s">
        <v>752</v>
      </c>
    </row>
    <row r="5" spans="1:5" x14ac:dyDescent="0.2">
      <c r="A5" s="3" t="s">
        <v>417</v>
      </c>
      <c r="B5" s="3" t="s">
        <v>418</v>
      </c>
      <c r="C5" s="3" t="s">
        <v>275</v>
      </c>
      <c r="D5" s="3" t="s">
        <v>419</v>
      </c>
      <c r="E5" s="26" t="s">
        <v>752</v>
      </c>
    </row>
    <row r="6" spans="1:5" x14ac:dyDescent="0.2">
      <c r="A6" s="3" t="s">
        <v>420</v>
      </c>
      <c r="B6" s="3" t="s">
        <v>409</v>
      </c>
      <c r="C6" s="3" t="s">
        <v>275</v>
      </c>
      <c r="D6" s="3" t="s">
        <v>421</v>
      </c>
      <c r="E6" s="26" t="s">
        <v>752</v>
      </c>
    </row>
    <row r="7" spans="1:5" x14ac:dyDescent="0.2">
      <c r="A7" s="3" t="s">
        <v>422</v>
      </c>
      <c r="B7" s="3" t="s">
        <v>412</v>
      </c>
      <c r="C7" s="3" t="s">
        <v>236</v>
      </c>
      <c r="D7" s="3" t="s">
        <v>423</v>
      </c>
      <c r="E7" s="26" t="s">
        <v>752</v>
      </c>
    </row>
    <row r="8" spans="1:5" x14ac:dyDescent="0.2">
      <c r="A8" s="3" t="s">
        <v>424</v>
      </c>
      <c r="B8" s="3" t="s">
        <v>425</v>
      </c>
      <c r="C8" s="3" t="s">
        <v>236</v>
      </c>
      <c r="D8" s="3" t="s">
        <v>426</v>
      </c>
      <c r="E8" s="26" t="s">
        <v>752</v>
      </c>
    </row>
    <row r="9" spans="1:5" x14ac:dyDescent="0.2">
      <c r="A9" s="2" t="s">
        <v>427</v>
      </c>
      <c r="B9" s="2" t="s">
        <v>428</v>
      </c>
      <c r="C9" s="2" t="s">
        <v>236</v>
      </c>
      <c r="D9" s="2" t="s">
        <v>157</v>
      </c>
      <c r="E9" s="2" t="s">
        <v>429</v>
      </c>
    </row>
    <row r="10" spans="1:5" x14ac:dyDescent="0.2">
      <c r="A10" s="2" t="s">
        <v>430</v>
      </c>
      <c r="B10" s="2" t="s">
        <v>431</v>
      </c>
      <c r="C10" s="2" t="s">
        <v>236</v>
      </c>
      <c r="D10" s="2" t="s">
        <v>154</v>
      </c>
      <c r="E10" s="2" t="s">
        <v>429</v>
      </c>
    </row>
    <row r="11" spans="1:5" x14ac:dyDescent="0.2">
      <c r="A11" s="2" t="s">
        <v>432</v>
      </c>
      <c r="B11" s="2" t="s">
        <v>433</v>
      </c>
      <c r="C11" s="2" t="s">
        <v>236</v>
      </c>
      <c r="D11" s="2" t="s">
        <v>434</v>
      </c>
      <c r="E11" s="2" t="s">
        <v>435</v>
      </c>
    </row>
    <row r="12" spans="1:5" x14ac:dyDescent="0.2">
      <c r="A12" s="3" t="s">
        <v>436</v>
      </c>
      <c r="B12" s="3">
        <v>600</v>
      </c>
      <c r="C12" s="3" t="s">
        <v>236</v>
      </c>
      <c r="D12" s="3" t="s">
        <v>437</v>
      </c>
      <c r="E12" s="26" t="s">
        <v>752</v>
      </c>
    </row>
    <row r="13" spans="1:5" x14ac:dyDescent="0.2">
      <c r="A13" s="3" t="s">
        <v>438</v>
      </c>
      <c r="B13" s="3">
        <v>600</v>
      </c>
      <c r="C13" s="3" t="s">
        <v>236</v>
      </c>
      <c r="D13" s="3" t="s">
        <v>439</v>
      </c>
      <c r="E13" s="26" t="s">
        <v>752</v>
      </c>
    </row>
    <row r="14" spans="1:5" x14ac:dyDescent="0.2">
      <c r="A14" s="3" t="s">
        <v>440</v>
      </c>
      <c r="B14" s="3">
        <v>600</v>
      </c>
      <c r="C14" s="3" t="s">
        <v>236</v>
      </c>
      <c r="D14" s="3" t="s">
        <v>441</v>
      </c>
      <c r="E14" s="26" t="s">
        <v>752</v>
      </c>
    </row>
    <row r="15" spans="1:5" x14ac:dyDescent="0.2">
      <c r="A15" s="2" t="s">
        <v>442</v>
      </c>
      <c r="B15" s="2">
        <v>15</v>
      </c>
      <c r="C15" s="2" t="s">
        <v>275</v>
      </c>
      <c r="D15" s="2" t="s">
        <v>443</v>
      </c>
      <c r="E15" s="27" t="s">
        <v>752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8"/>
  <sheetViews>
    <sheetView topLeftCell="A14" zoomScale="182" zoomScaleNormal="100" workbookViewId="0">
      <selection activeCell="B28" sqref="B28"/>
    </sheetView>
  </sheetViews>
  <sheetFormatPr baseColWidth="10" defaultColWidth="8.83203125" defaultRowHeight="15" x14ac:dyDescent="0.2"/>
  <cols>
    <col min="1" max="1" width="32" customWidth="1"/>
    <col min="2" max="2" width="42" customWidth="1"/>
    <col min="3" max="3" width="18" customWidth="1"/>
  </cols>
  <sheetData>
    <row r="1" spans="1:3" ht="15.75" customHeight="1" x14ac:dyDescent="0.2">
      <c r="A1" s="7" t="s">
        <v>1</v>
      </c>
      <c r="B1" s="7" t="s">
        <v>444</v>
      </c>
      <c r="C1" s="8" t="s">
        <v>445</v>
      </c>
    </row>
    <row r="2" spans="1:3" ht="15.75" customHeight="1" x14ac:dyDescent="0.2">
      <c r="A2" s="9" t="s">
        <v>61</v>
      </c>
      <c r="B2" s="9" t="s">
        <v>446</v>
      </c>
      <c r="C2" s="10">
        <v>14000</v>
      </c>
    </row>
    <row r="3" spans="1:3" ht="15.75" customHeight="1" x14ac:dyDescent="0.2">
      <c r="A3" s="11" t="s">
        <v>61</v>
      </c>
      <c r="B3" s="11" t="s">
        <v>447</v>
      </c>
      <c r="C3" s="12">
        <v>11000</v>
      </c>
    </row>
    <row r="4" spans="1:3" ht="15.75" customHeight="1" x14ac:dyDescent="0.2">
      <c r="A4" s="9" t="s">
        <v>61</v>
      </c>
      <c r="B4" s="9" t="s">
        <v>448</v>
      </c>
      <c r="C4" s="10">
        <v>11000</v>
      </c>
    </row>
    <row r="5" spans="1:3" ht="15.75" customHeight="1" x14ac:dyDescent="0.2">
      <c r="A5" s="11" t="s">
        <v>61</v>
      </c>
      <c r="B5" s="11" t="s">
        <v>80</v>
      </c>
      <c r="C5" s="12">
        <v>7000</v>
      </c>
    </row>
    <row r="6" spans="1:3" ht="15.75" customHeight="1" x14ac:dyDescent="0.2">
      <c r="A6" s="9" t="s">
        <v>61</v>
      </c>
      <c r="B6" s="9" t="s">
        <v>449</v>
      </c>
      <c r="C6" s="10">
        <v>9000</v>
      </c>
    </row>
    <row r="7" spans="1:3" ht="15.75" customHeight="1" x14ac:dyDescent="0.2">
      <c r="A7" s="11" t="s">
        <v>61</v>
      </c>
      <c r="B7" s="11" t="s">
        <v>450</v>
      </c>
      <c r="C7" s="12">
        <v>9500</v>
      </c>
    </row>
    <row r="8" spans="1:3" ht="15.75" customHeight="1" x14ac:dyDescent="0.2">
      <c r="A8" s="9" t="s">
        <v>61</v>
      </c>
      <c r="B8" s="9" t="s">
        <v>451</v>
      </c>
      <c r="C8" s="10">
        <v>8500</v>
      </c>
    </row>
    <row r="9" spans="1:3" ht="15.75" customHeight="1" x14ac:dyDescent="0.2">
      <c r="A9" s="11" t="s">
        <v>61</v>
      </c>
      <c r="B9" s="11" t="s">
        <v>452</v>
      </c>
      <c r="C9" s="12">
        <v>11000</v>
      </c>
    </row>
    <row r="10" spans="1:3" ht="15.75" customHeight="1" x14ac:dyDescent="0.2">
      <c r="A10" s="9" t="s">
        <v>61</v>
      </c>
      <c r="B10" s="9" t="s">
        <v>453</v>
      </c>
      <c r="C10" s="10">
        <v>9000</v>
      </c>
    </row>
    <row r="11" spans="1:3" ht="15.75" customHeight="1" x14ac:dyDescent="0.2">
      <c r="A11" s="11" t="s">
        <v>61</v>
      </c>
      <c r="B11" s="11" t="s">
        <v>454</v>
      </c>
      <c r="C11" s="12">
        <v>9000</v>
      </c>
    </row>
    <row r="12" spans="1:3" ht="15.75" customHeight="1" x14ac:dyDescent="0.2">
      <c r="A12" s="9" t="s">
        <v>61</v>
      </c>
      <c r="B12" s="9" t="s">
        <v>455</v>
      </c>
      <c r="C12" s="10">
        <v>9000</v>
      </c>
    </row>
    <row r="13" spans="1:3" ht="15.75" customHeight="1" x14ac:dyDescent="0.2">
      <c r="A13" s="11" t="s">
        <v>61</v>
      </c>
      <c r="B13" s="11" t="s">
        <v>456</v>
      </c>
      <c r="C13" s="12">
        <v>9000</v>
      </c>
    </row>
    <row r="14" spans="1:3" ht="15.75" customHeight="1" x14ac:dyDescent="0.2">
      <c r="A14" s="9" t="s">
        <v>61</v>
      </c>
      <c r="B14" s="9" t="s">
        <v>457</v>
      </c>
      <c r="C14" s="10">
        <v>11000</v>
      </c>
    </row>
    <row r="15" spans="1:3" ht="15.75" customHeight="1" x14ac:dyDescent="0.2">
      <c r="A15" s="11" t="s">
        <v>61</v>
      </c>
      <c r="B15" s="11" t="s">
        <v>458</v>
      </c>
      <c r="C15" s="12">
        <v>9000</v>
      </c>
    </row>
    <row r="16" spans="1:3" ht="15.75" customHeight="1" x14ac:dyDescent="0.2">
      <c r="A16" s="9" t="s">
        <v>9</v>
      </c>
      <c r="B16" s="9" t="s">
        <v>459</v>
      </c>
      <c r="C16" s="10">
        <v>10000</v>
      </c>
    </row>
    <row r="17" spans="1:3" ht="15.75" customHeight="1" x14ac:dyDescent="0.2">
      <c r="A17" s="11" t="s">
        <v>9</v>
      </c>
      <c r="B17" s="11" t="s">
        <v>460</v>
      </c>
      <c r="C17" s="12">
        <v>13000</v>
      </c>
    </row>
    <row r="18" spans="1:3" ht="15.75" customHeight="1" x14ac:dyDescent="0.2">
      <c r="A18" s="9" t="s">
        <v>9</v>
      </c>
      <c r="B18" s="9" t="s">
        <v>461</v>
      </c>
      <c r="C18" s="10">
        <v>13000</v>
      </c>
    </row>
    <row r="19" spans="1:3" ht="15.75" customHeight="1" x14ac:dyDescent="0.2">
      <c r="A19" s="11" t="s">
        <v>9</v>
      </c>
      <c r="B19" s="11" t="s">
        <v>462</v>
      </c>
      <c r="C19" s="12">
        <v>8000</v>
      </c>
    </row>
    <row r="20" spans="1:3" ht="15.75" customHeight="1" x14ac:dyDescent="0.2">
      <c r="A20" s="9" t="s">
        <v>9</v>
      </c>
      <c r="B20" s="9" t="s">
        <v>463</v>
      </c>
      <c r="C20" s="10">
        <v>12000</v>
      </c>
    </row>
    <row r="21" spans="1:3" ht="15.75" customHeight="1" x14ac:dyDescent="0.2">
      <c r="A21" s="11" t="s">
        <v>9</v>
      </c>
      <c r="B21" s="11" t="s">
        <v>113</v>
      </c>
      <c r="C21" s="12">
        <v>80000</v>
      </c>
    </row>
    <row r="22" spans="1:3" ht="15.75" customHeight="1" x14ac:dyDescent="0.2">
      <c r="A22" s="9" t="s">
        <v>9</v>
      </c>
      <c r="B22" s="9" t="s">
        <v>464</v>
      </c>
      <c r="C22" s="10">
        <v>15000</v>
      </c>
    </row>
    <row r="23" spans="1:3" ht="15.75" customHeight="1" x14ac:dyDescent="0.2">
      <c r="A23" s="11" t="s">
        <v>9</v>
      </c>
      <c r="B23" s="11" t="s">
        <v>465</v>
      </c>
      <c r="C23" s="12">
        <v>14000</v>
      </c>
    </row>
    <row r="24" spans="1:3" ht="15.75" customHeight="1" x14ac:dyDescent="0.2">
      <c r="A24" s="9" t="s">
        <v>9</v>
      </c>
      <c r="B24" s="9" t="s">
        <v>42</v>
      </c>
      <c r="C24" s="10">
        <v>8000</v>
      </c>
    </row>
    <row r="25" spans="1:3" ht="15.75" customHeight="1" x14ac:dyDescent="0.2">
      <c r="A25" s="11" t="s">
        <v>9</v>
      </c>
      <c r="B25" s="11" t="s">
        <v>47</v>
      </c>
      <c r="C25" s="12">
        <v>9000</v>
      </c>
    </row>
    <row r="26" spans="1:3" ht="15.75" customHeight="1" x14ac:dyDescent="0.2">
      <c r="A26" s="9" t="s">
        <v>9</v>
      </c>
      <c r="B26" s="9" t="s">
        <v>117</v>
      </c>
      <c r="C26" s="10">
        <v>85000</v>
      </c>
    </row>
    <row r="27" spans="1:3" ht="15.75" customHeight="1" x14ac:dyDescent="0.2">
      <c r="A27" s="11" t="s">
        <v>9</v>
      </c>
      <c r="B27" s="11" t="s">
        <v>466</v>
      </c>
      <c r="C27" s="12">
        <v>80000</v>
      </c>
    </row>
    <row r="28" spans="1:3" ht="15.75" customHeight="1" x14ac:dyDescent="0.2">
      <c r="A28" s="9" t="s">
        <v>9</v>
      </c>
      <c r="B28" s="9" t="s">
        <v>83</v>
      </c>
      <c r="C28" s="10">
        <v>8000</v>
      </c>
    </row>
    <row r="29" spans="1:3" ht="15.75" customHeight="1" x14ac:dyDescent="0.2">
      <c r="A29" s="11" t="s">
        <v>9</v>
      </c>
      <c r="B29" s="11" t="s">
        <v>66</v>
      </c>
      <c r="C29" s="12">
        <v>80000</v>
      </c>
    </row>
    <row r="30" spans="1:3" ht="15.75" customHeight="1" x14ac:dyDescent="0.2">
      <c r="A30" s="9" t="s">
        <v>9</v>
      </c>
      <c r="B30" s="9" t="s">
        <v>467</v>
      </c>
      <c r="C30" s="10">
        <v>20000</v>
      </c>
    </row>
    <row r="31" spans="1:3" ht="15.75" customHeight="1" x14ac:dyDescent="0.2">
      <c r="A31" s="11" t="s">
        <v>9</v>
      </c>
      <c r="B31" s="11" t="s">
        <v>68</v>
      </c>
      <c r="C31" s="12">
        <v>45000</v>
      </c>
    </row>
    <row r="32" spans="1:3" ht="15.75" customHeight="1" x14ac:dyDescent="0.2">
      <c r="A32" s="9" t="s">
        <v>9</v>
      </c>
      <c r="B32" s="9" t="s">
        <v>39</v>
      </c>
      <c r="C32" s="10">
        <v>10000</v>
      </c>
    </row>
    <row r="33" spans="1:3" ht="15.75" customHeight="1" x14ac:dyDescent="0.2">
      <c r="A33" s="11" t="s">
        <v>9</v>
      </c>
      <c r="B33" s="11" t="s">
        <v>468</v>
      </c>
      <c r="C33" s="12">
        <v>13000</v>
      </c>
    </row>
    <row r="34" spans="1:3" ht="15.75" customHeight="1" x14ac:dyDescent="0.2">
      <c r="A34" s="9" t="s">
        <v>9</v>
      </c>
      <c r="B34" s="9" t="s">
        <v>53</v>
      </c>
      <c r="C34" s="10">
        <v>8000</v>
      </c>
    </row>
    <row r="35" spans="1:3" ht="15.75" customHeight="1" x14ac:dyDescent="0.2">
      <c r="A35" s="11" t="s">
        <v>9</v>
      </c>
      <c r="B35" s="11" t="s">
        <v>469</v>
      </c>
      <c r="C35" s="12">
        <v>35000</v>
      </c>
    </row>
    <row r="36" spans="1:3" ht="15.75" customHeight="1" x14ac:dyDescent="0.2">
      <c r="A36" s="9" t="s">
        <v>9</v>
      </c>
      <c r="B36" s="9" t="s">
        <v>470</v>
      </c>
      <c r="C36" s="10">
        <v>65000</v>
      </c>
    </row>
    <row r="37" spans="1:3" ht="15.75" customHeight="1" x14ac:dyDescent="0.2">
      <c r="A37" s="11" t="s">
        <v>9</v>
      </c>
      <c r="B37" s="11" t="s">
        <v>471</v>
      </c>
      <c r="C37" s="12">
        <v>8000</v>
      </c>
    </row>
    <row r="38" spans="1:3" ht="15.75" customHeight="1" x14ac:dyDescent="0.2">
      <c r="A38" s="9" t="s">
        <v>9</v>
      </c>
      <c r="B38" s="9" t="s">
        <v>472</v>
      </c>
      <c r="C38" s="10">
        <v>35000</v>
      </c>
    </row>
    <row r="39" spans="1:3" ht="15.75" customHeight="1" x14ac:dyDescent="0.2">
      <c r="A39" s="11" t="s">
        <v>9</v>
      </c>
      <c r="B39" s="11" t="s">
        <v>473</v>
      </c>
      <c r="C39" s="12">
        <v>4000</v>
      </c>
    </row>
    <row r="40" spans="1:3" ht="15.75" customHeight="1" x14ac:dyDescent="0.2">
      <c r="A40" s="9" t="s">
        <v>9</v>
      </c>
      <c r="B40" s="9" t="s">
        <v>474</v>
      </c>
      <c r="C40" s="10">
        <v>8000</v>
      </c>
    </row>
    <row r="41" spans="1:3" ht="15.75" customHeight="1" x14ac:dyDescent="0.2">
      <c r="A41" s="11" t="s">
        <v>9</v>
      </c>
      <c r="B41" s="11" t="s">
        <v>27</v>
      </c>
      <c r="C41" s="12">
        <v>8000</v>
      </c>
    </row>
    <row r="42" spans="1:3" ht="15.75" customHeight="1" x14ac:dyDescent="0.2">
      <c r="A42" s="9" t="s">
        <v>9</v>
      </c>
      <c r="B42" s="9" t="s">
        <v>24</v>
      </c>
      <c r="C42" s="10">
        <v>10000</v>
      </c>
    </row>
    <row r="43" spans="1:3" ht="15.75" customHeight="1" x14ac:dyDescent="0.2">
      <c r="A43" s="11" t="s">
        <v>9</v>
      </c>
      <c r="B43" s="11" t="s">
        <v>475</v>
      </c>
      <c r="C43" s="12">
        <v>9500</v>
      </c>
    </row>
    <row r="44" spans="1:3" ht="15.75" customHeight="1" x14ac:dyDescent="0.2">
      <c r="A44" s="9" t="s">
        <v>9</v>
      </c>
      <c r="B44" s="9" t="s">
        <v>450</v>
      </c>
      <c r="C44" s="10">
        <v>10000</v>
      </c>
    </row>
    <row r="45" spans="1:3" ht="15.75" customHeight="1" x14ac:dyDescent="0.2">
      <c r="A45" s="11" t="s">
        <v>9</v>
      </c>
      <c r="B45" s="11" t="s">
        <v>451</v>
      </c>
      <c r="C45" s="12">
        <v>9000</v>
      </c>
    </row>
    <row r="46" spans="1:3" ht="15.75" customHeight="1" x14ac:dyDescent="0.2">
      <c r="A46" s="9" t="s">
        <v>9</v>
      </c>
      <c r="B46" s="9" t="s">
        <v>476</v>
      </c>
      <c r="C46" s="10">
        <v>12000</v>
      </c>
    </row>
    <row r="47" spans="1:3" ht="15.75" customHeight="1" x14ac:dyDescent="0.2">
      <c r="A47" s="11" t="s">
        <v>9</v>
      </c>
      <c r="B47" s="11" t="s">
        <v>477</v>
      </c>
      <c r="C47" s="12">
        <v>7000</v>
      </c>
    </row>
    <row r="48" spans="1:3" ht="15.75" customHeight="1" x14ac:dyDescent="0.2">
      <c r="A48" s="9" t="s">
        <v>9</v>
      </c>
      <c r="B48" s="9" t="s">
        <v>478</v>
      </c>
      <c r="C48" s="10">
        <v>8500</v>
      </c>
    </row>
    <row r="49" spans="1:3" ht="15.75" customHeight="1" x14ac:dyDescent="0.2">
      <c r="A49" s="11" t="s">
        <v>9</v>
      </c>
      <c r="B49" s="11" t="s">
        <v>93</v>
      </c>
      <c r="C49" s="12">
        <v>15000</v>
      </c>
    </row>
    <row r="50" spans="1:3" ht="15.75" customHeight="1" x14ac:dyDescent="0.2">
      <c r="A50" s="9" t="s">
        <v>9</v>
      </c>
      <c r="B50" s="9" t="s">
        <v>30</v>
      </c>
      <c r="C50" s="10">
        <v>8000</v>
      </c>
    </row>
    <row r="51" spans="1:3" ht="15.75" customHeight="1" x14ac:dyDescent="0.2">
      <c r="A51" s="11" t="s">
        <v>9</v>
      </c>
      <c r="B51" s="11" t="s">
        <v>33</v>
      </c>
      <c r="C51" s="12">
        <v>8500</v>
      </c>
    </row>
    <row r="52" spans="1:3" ht="15.75" customHeight="1" x14ac:dyDescent="0.2">
      <c r="A52" s="9" t="s">
        <v>9</v>
      </c>
      <c r="B52" s="9" t="s">
        <v>44</v>
      </c>
      <c r="C52" s="10">
        <v>9000</v>
      </c>
    </row>
    <row r="53" spans="1:3" ht="15.75" customHeight="1" x14ac:dyDescent="0.2">
      <c r="A53" s="11" t="s">
        <v>9</v>
      </c>
      <c r="B53" s="11" t="s">
        <v>50</v>
      </c>
      <c r="C53" s="12">
        <v>7000</v>
      </c>
    </row>
    <row r="54" spans="1:3" ht="15.75" customHeight="1" x14ac:dyDescent="0.2">
      <c r="A54" s="9" t="s">
        <v>9</v>
      </c>
      <c r="B54" s="9" t="s">
        <v>36</v>
      </c>
      <c r="C54" s="10">
        <v>10000</v>
      </c>
    </row>
    <row r="55" spans="1:3" ht="15.75" customHeight="1" x14ac:dyDescent="0.2">
      <c r="A55" s="11" t="s">
        <v>9</v>
      </c>
      <c r="B55" s="11" t="s">
        <v>479</v>
      </c>
      <c r="C55" s="12">
        <v>9000</v>
      </c>
    </row>
    <row r="56" spans="1:3" ht="15.75" customHeight="1" x14ac:dyDescent="0.2">
      <c r="A56" s="9" t="s">
        <v>9</v>
      </c>
      <c r="B56" s="9" t="s">
        <v>87</v>
      </c>
      <c r="C56" s="10">
        <v>8000</v>
      </c>
    </row>
    <row r="57" spans="1:3" ht="15.75" customHeight="1" x14ac:dyDescent="0.2">
      <c r="A57" s="11" t="s">
        <v>9</v>
      </c>
      <c r="B57" s="11" t="s">
        <v>480</v>
      </c>
      <c r="C57" s="12">
        <v>50000</v>
      </c>
    </row>
    <row r="58" spans="1:3" ht="15.75" customHeight="1" x14ac:dyDescent="0.2">
      <c r="A58" s="9" t="s">
        <v>9</v>
      </c>
      <c r="B58" s="9" t="s">
        <v>108</v>
      </c>
      <c r="C58" s="10">
        <v>50000</v>
      </c>
    </row>
    <row r="59" spans="1:3" ht="15.75" customHeight="1" x14ac:dyDescent="0.2">
      <c r="A59" s="11" t="s">
        <v>9</v>
      </c>
      <c r="B59" s="11" t="s">
        <v>481</v>
      </c>
      <c r="C59" s="12">
        <v>12000</v>
      </c>
    </row>
    <row r="60" spans="1:3" ht="15.75" customHeight="1" x14ac:dyDescent="0.2">
      <c r="A60" s="9" t="s">
        <v>9</v>
      </c>
      <c r="B60" s="9" t="s">
        <v>482</v>
      </c>
      <c r="C60" s="10">
        <v>10000</v>
      </c>
    </row>
    <row r="61" spans="1:3" ht="15.75" customHeight="1" x14ac:dyDescent="0.2">
      <c r="A61" s="11" t="s">
        <v>9</v>
      </c>
      <c r="B61" s="11" t="s">
        <v>483</v>
      </c>
      <c r="C61" s="12">
        <v>9500</v>
      </c>
    </row>
    <row r="62" spans="1:3" ht="15.75" customHeight="1" x14ac:dyDescent="0.2">
      <c r="A62" s="9" t="s">
        <v>9</v>
      </c>
      <c r="B62" s="9" t="s">
        <v>484</v>
      </c>
      <c r="C62" s="10">
        <v>7000</v>
      </c>
    </row>
    <row r="63" spans="1:3" ht="15.75" customHeight="1" x14ac:dyDescent="0.2">
      <c r="A63" s="11" t="s">
        <v>485</v>
      </c>
      <c r="B63" s="11" t="s">
        <v>139</v>
      </c>
      <c r="C63" s="12">
        <v>3000</v>
      </c>
    </row>
    <row r="64" spans="1:3" ht="15.75" customHeight="1" x14ac:dyDescent="0.2">
      <c r="A64" s="9" t="s">
        <v>485</v>
      </c>
      <c r="B64" s="9" t="s">
        <v>135</v>
      </c>
      <c r="C64" s="10">
        <v>3000</v>
      </c>
    </row>
    <row r="65" spans="1:3" ht="15.75" customHeight="1" x14ac:dyDescent="0.2">
      <c r="A65" s="11" t="s">
        <v>485</v>
      </c>
      <c r="B65" s="11" t="s">
        <v>142</v>
      </c>
      <c r="C65" s="12">
        <v>3500</v>
      </c>
    </row>
    <row r="66" spans="1:3" ht="15.75" customHeight="1" x14ac:dyDescent="0.2">
      <c r="A66" s="9" t="s">
        <v>485</v>
      </c>
      <c r="B66" s="9" t="s">
        <v>486</v>
      </c>
      <c r="C66" s="10">
        <v>3500</v>
      </c>
    </row>
    <row r="67" spans="1:3" ht="15.75" customHeight="1" x14ac:dyDescent="0.2">
      <c r="A67" s="11" t="s">
        <v>485</v>
      </c>
      <c r="B67" s="11" t="s">
        <v>487</v>
      </c>
      <c r="C67" s="12">
        <v>3500</v>
      </c>
    </row>
    <row r="68" spans="1:3" ht="15.75" customHeight="1" x14ac:dyDescent="0.2">
      <c r="A68" s="9" t="s">
        <v>485</v>
      </c>
      <c r="B68" s="9" t="s">
        <v>488</v>
      </c>
      <c r="C68" s="10">
        <v>3500</v>
      </c>
    </row>
    <row r="69" spans="1:3" ht="15.75" customHeight="1" x14ac:dyDescent="0.2">
      <c r="A69" s="11" t="s">
        <v>485</v>
      </c>
      <c r="B69" s="11" t="s">
        <v>145</v>
      </c>
      <c r="C69" s="12">
        <v>6500</v>
      </c>
    </row>
    <row r="70" spans="1:3" ht="15.75" customHeight="1" x14ac:dyDescent="0.2">
      <c r="A70" s="9" t="s">
        <v>485</v>
      </c>
      <c r="B70" s="9" t="s">
        <v>148</v>
      </c>
      <c r="C70" s="10">
        <v>7000</v>
      </c>
    </row>
    <row r="71" spans="1:3" ht="15.75" customHeight="1" x14ac:dyDescent="0.2">
      <c r="A71" s="11" t="s">
        <v>485</v>
      </c>
      <c r="B71" s="11" t="s">
        <v>489</v>
      </c>
      <c r="C71" s="12">
        <v>7000</v>
      </c>
    </row>
    <row r="72" spans="1:3" ht="15.75" customHeight="1" x14ac:dyDescent="0.2">
      <c r="A72" s="9" t="s">
        <v>485</v>
      </c>
      <c r="B72" s="9" t="s">
        <v>490</v>
      </c>
      <c r="C72" s="10">
        <v>3500</v>
      </c>
    </row>
    <row r="73" spans="1:3" ht="15.75" customHeight="1" x14ac:dyDescent="0.2">
      <c r="A73" s="11" t="s">
        <v>97</v>
      </c>
      <c r="B73" s="11" t="s">
        <v>491</v>
      </c>
      <c r="C73" s="12">
        <v>10000</v>
      </c>
    </row>
    <row r="74" spans="1:3" ht="15.75" customHeight="1" x14ac:dyDescent="0.2">
      <c r="A74" s="9" t="s">
        <v>97</v>
      </c>
      <c r="B74" s="9" t="s">
        <v>492</v>
      </c>
      <c r="C74" s="10">
        <v>6000</v>
      </c>
    </row>
    <row r="75" spans="1:3" ht="15.75" customHeight="1" x14ac:dyDescent="0.2">
      <c r="A75" s="11" t="s">
        <v>97</v>
      </c>
      <c r="B75" s="11" t="s">
        <v>103</v>
      </c>
      <c r="C75" s="12">
        <v>9000</v>
      </c>
    </row>
    <row r="76" spans="1:3" ht="15.75" customHeight="1" x14ac:dyDescent="0.2">
      <c r="A76" s="9" t="s">
        <v>97</v>
      </c>
      <c r="B76" s="9" t="s">
        <v>493</v>
      </c>
      <c r="C76" s="10">
        <v>10000</v>
      </c>
    </row>
    <row r="77" spans="1:3" ht="15.75" customHeight="1" x14ac:dyDescent="0.2">
      <c r="A77" s="11" t="s">
        <v>97</v>
      </c>
      <c r="B77" s="11" t="s">
        <v>105</v>
      </c>
      <c r="C77" s="12">
        <v>8500</v>
      </c>
    </row>
    <row r="78" spans="1:3" ht="15.75" customHeight="1" x14ac:dyDescent="0.2">
      <c r="A78" s="9" t="s">
        <v>97</v>
      </c>
      <c r="B78" s="9" t="s">
        <v>96</v>
      </c>
      <c r="C78" s="10">
        <v>10000</v>
      </c>
    </row>
    <row r="79" spans="1:3" ht="15.75" customHeight="1" x14ac:dyDescent="0.2">
      <c r="A79" s="11" t="s">
        <v>494</v>
      </c>
      <c r="B79" s="11" t="s">
        <v>495</v>
      </c>
      <c r="C79" s="12">
        <v>13000</v>
      </c>
    </row>
    <row r="80" spans="1:3" ht="15.75" customHeight="1" x14ac:dyDescent="0.2">
      <c r="A80" s="9" t="s">
        <v>494</v>
      </c>
      <c r="B80" s="9" t="s">
        <v>496</v>
      </c>
      <c r="C80" s="10">
        <v>15000</v>
      </c>
    </row>
    <row r="81" spans="1:3" ht="15.75" customHeight="1" x14ac:dyDescent="0.2">
      <c r="A81" s="11" t="s">
        <v>163</v>
      </c>
      <c r="B81" s="11" t="s">
        <v>162</v>
      </c>
      <c r="C81" s="12">
        <v>14000</v>
      </c>
    </row>
    <row r="82" spans="1:3" ht="15.75" customHeight="1" x14ac:dyDescent="0.2">
      <c r="A82" s="9" t="s">
        <v>163</v>
      </c>
      <c r="B82" s="9" t="s">
        <v>166</v>
      </c>
      <c r="C82" s="10">
        <v>13500</v>
      </c>
    </row>
    <row r="83" spans="1:3" ht="15.75" customHeight="1" x14ac:dyDescent="0.2">
      <c r="A83" s="11" t="s">
        <v>163</v>
      </c>
      <c r="B83" s="11" t="s">
        <v>169</v>
      </c>
      <c r="C83" s="12">
        <v>13000</v>
      </c>
    </row>
    <row r="84" spans="1:3" ht="15.75" customHeight="1" x14ac:dyDescent="0.2">
      <c r="A84" s="9" t="s">
        <v>163</v>
      </c>
      <c r="B84" s="9" t="s">
        <v>172</v>
      </c>
      <c r="C84" s="10">
        <v>14000</v>
      </c>
    </row>
    <row r="85" spans="1:3" ht="15.75" customHeight="1" x14ac:dyDescent="0.2">
      <c r="A85" s="11" t="s">
        <v>163</v>
      </c>
      <c r="B85" s="11" t="s">
        <v>175</v>
      </c>
      <c r="C85" s="12">
        <v>13500</v>
      </c>
    </row>
    <row r="86" spans="1:3" ht="15.75" customHeight="1" x14ac:dyDescent="0.2">
      <c r="A86" s="9" t="s">
        <v>163</v>
      </c>
      <c r="B86" s="9" t="s">
        <v>497</v>
      </c>
      <c r="C86" s="10">
        <v>15000</v>
      </c>
    </row>
    <row r="87" spans="1:3" ht="15.75" customHeight="1" x14ac:dyDescent="0.2">
      <c r="A87" s="11" t="s">
        <v>163</v>
      </c>
      <c r="B87" s="11" t="s">
        <v>178</v>
      </c>
      <c r="C87" s="12">
        <v>15000</v>
      </c>
    </row>
    <row r="88" spans="1:3" ht="15.75" customHeight="1" x14ac:dyDescent="0.2">
      <c r="A88" s="9" t="s">
        <v>182</v>
      </c>
      <c r="B88" s="9" t="s">
        <v>181</v>
      </c>
      <c r="C88" s="10">
        <v>22000</v>
      </c>
    </row>
    <row r="89" spans="1:3" ht="15.75" customHeight="1" x14ac:dyDescent="0.2">
      <c r="A89" s="11" t="s">
        <v>182</v>
      </c>
      <c r="B89" s="11" t="s">
        <v>498</v>
      </c>
      <c r="C89" s="12">
        <v>14000</v>
      </c>
    </row>
    <row r="90" spans="1:3" ht="15.75" customHeight="1" x14ac:dyDescent="0.2">
      <c r="A90" s="9" t="s">
        <v>182</v>
      </c>
      <c r="B90" s="9" t="s">
        <v>185</v>
      </c>
      <c r="C90" s="10">
        <v>12500</v>
      </c>
    </row>
    <row r="91" spans="1:3" ht="15.75" customHeight="1" x14ac:dyDescent="0.2">
      <c r="A91" s="11" t="s">
        <v>182</v>
      </c>
      <c r="B91" s="11" t="s">
        <v>188</v>
      </c>
      <c r="C91" s="12">
        <v>12000</v>
      </c>
    </row>
    <row r="92" spans="1:3" ht="15.75" customHeight="1" x14ac:dyDescent="0.2">
      <c r="A92" s="9" t="s">
        <v>182</v>
      </c>
      <c r="B92" s="9" t="s">
        <v>191</v>
      </c>
      <c r="C92" s="10">
        <v>10000</v>
      </c>
    </row>
    <row r="93" spans="1:3" ht="15.75" customHeight="1" x14ac:dyDescent="0.2">
      <c r="A93" s="11" t="s">
        <v>182</v>
      </c>
      <c r="B93" s="11" t="s">
        <v>194</v>
      </c>
      <c r="C93" s="12">
        <v>14000</v>
      </c>
    </row>
    <row r="94" spans="1:3" ht="15.75" customHeight="1" x14ac:dyDescent="0.2">
      <c r="A94" s="9" t="s">
        <v>182</v>
      </c>
      <c r="B94" s="9" t="s">
        <v>197</v>
      </c>
      <c r="C94" s="10">
        <v>30000</v>
      </c>
    </row>
    <row r="95" spans="1:3" ht="15.75" customHeight="1" x14ac:dyDescent="0.2">
      <c r="A95" s="11" t="s">
        <v>201</v>
      </c>
      <c r="B95" s="11" t="s">
        <v>200</v>
      </c>
      <c r="C95" s="12">
        <v>14000</v>
      </c>
    </row>
    <row r="96" spans="1:3" ht="15.75" customHeight="1" x14ac:dyDescent="0.2">
      <c r="A96" s="9" t="s">
        <v>201</v>
      </c>
      <c r="B96" s="9" t="s">
        <v>204</v>
      </c>
      <c r="C96" s="10">
        <v>16000</v>
      </c>
    </row>
    <row r="97" spans="1:3" ht="15.75" customHeight="1" x14ac:dyDescent="0.2">
      <c r="A97" s="11" t="s">
        <v>201</v>
      </c>
      <c r="B97" s="11" t="s">
        <v>207</v>
      </c>
      <c r="C97" s="12">
        <v>14000</v>
      </c>
    </row>
    <row r="98" spans="1:3" ht="15.75" customHeight="1" x14ac:dyDescent="0.2">
      <c r="A98" s="9" t="s">
        <v>201</v>
      </c>
      <c r="B98" s="9" t="s">
        <v>210</v>
      </c>
      <c r="C98" s="10">
        <v>14000</v>
      </c>
    </row>
    <row r="99" spans="1:3" ht="15.75" customHeight="1" x14ac:dyDescent="0.2">
      <c r="A99" s="11" t="s">
        <v>201</v>
      </c>
      <c r="B99" s="11" t="s">
        <v>213</v>
      </c>
      <c r="C99" s="12">
        <v>16000</v>
      </c>
    </row>
    <row r="100" spans="1:3" ht="15.75" customHeight="1" x14ac:dyDescent="0.2">
      <c r="A100" s="9" t="s">
        <v>499</v>
      </c>
      <c r="B100" s="9" t="s">
        <v>500</v>
      </c>
      <c r="C100" s="10">
        <v>8000</v>
      </c>
    </row>
    <row r="101" spans="1:3" ht="15.75" customHeight="1" x14ac:dyDescent="0.2">
      <c r="A101" s="11" t="s">
        <v>121</v>
      </c>
      <c r="B101" s="11" t="s">
        <v>501</v>
      </c>
      <c r="C101" s="12">
        <v>75000</v>
      </c>
    </row>
    <row r="102" spans="1:3" ht="15.75" customHeight="1" x14ac:dyDescent="0.2">
      <c r="A102" s="9" t="s">
        <v>121</v>
      </c>
      <c r="B102" s="9" t="s">
        <v>502</v>
      </c>
      <c r="C102" s="10">
        <v>150000</v>
      </c>
    </row>
    <row r="103" spans="1:3" ht="15.75" customHeight="1" x14ac:dyDescent="0.2">
      <c r="A103" s="11" t="s">
        <v>121</v>
      </c>
      <c r="B103" s="11" t="s">
        <v>503</v>
      </c>
      <c r="C103" s="12">
        <v>220000</v>
      </c>
    </row>
    <row r="104" spans="1:3" ht="15.75" customHeight="1" x14ac:dyDescent="0.2">
      <c r="A104" s="9" t="s">
        <v>121</v>
      </c>
      <c r="B104" s="9" t="s">
        <v>504</v>
      </c>
      <c r="C104" s="10">
        <v>24000</v>
      </c>
    </row>
    <row r="105" spans="1:3" ht="15.75" customHeight="1" x14ac:dyDescent="0.2">
      <c r="A105" s="11" t="s">
        <v>121</v>
      </c>
      <c r="B105" s="11" t="s">
        <v>505</v>
      </c>
      <c r="C105" s="12">
        <v>30000</v>
      </c>
    </row>
    <row r="106" spans="1:3" ht="15.75" customHeight="1" x14ac:dyDescent="0.2">
      <c r="A106" s="9" t="s">
        <v>121</v>
      </c>
      <c r="B106" s="9" t="s">
        <v>506</v>
      </c>
      <c r="C106" s="10">
        <v>45000</v>
      </c>
    </row>
    <row r="107" spans="1:3" ht="15.75" customHeight="1" x14ac:dyDescent="0.2">
      <c r="A107" s="11" t="s">
        <v>121</v>
      </c>
      <c r="B107" s="11" t="s">
        <v>507</v>
      </c>
      <c r="C107" s="12">
        <v>17000</v>
      </c>
    </row>
    <row r="108" spans="1:3" ht="15.75" customHeight="1" x14ac:dyDescent="0.2">
      <c r="A108" s="9" t="s">
        <v>217</v>
      </c>
      <c r="B108" s="9" t="s">
        <v>216</v>
      </c>
      <c r="C108" s="10">
        <v>12000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0"/>
  <sheetViews>
    <sheetView zoomScale="117" zoomScaleNormal="117" workbookViewId="0">
      <selection activeCell="C7" sqref="C7"/>
    </sheetView>
  </sheetViews>
  <sheetFormatPr baseColWidth="10" defaultColWidth="8.83203125" defaultRowHeight="15" x14ac:dyDescent="0.2"/>
  <cols>
    <col min="1" max="1" width="32" customWidth="1"/>
    <col min="2" max="2" width="26" customWidth="1"/>
    <col min="3" max="3" width="14" customWidth="1"/>
    <col min="4" max="4" width="26" customWidth="1"/>
    <col min="5" max="5" width="14" customWidth="1"/>
    <col min="6" max="6" width="26" customWidth="1"/>
    <col min="7" max="7" width="14" customWidth="1"/>
    <col min="8" max="8" width="26" customWidth="1"/>
    <col min="9" max="9" width="14" customWidth="1"/>
    <col min="10" max="10" width="26" customWidth="1"/>
    <col min="11" max="11" width="14" customWidth="1"/>
    <col min="12" max="12" width="26" customWidth="1"/>
    <col min="13" max="13" width="14" customWidth="1"/>
  </cols>
  <sheetData>
    <row r="1" spans="1:13" ht="15.75" customHeight="1" x14ac:dyDescent="0.2">
      <c r="A1" s="7" t="s">
        <v>508</v>
      </c>
      <c r="B1" s="7" t="s">
        <v>509</v>
      </c>
      <c r="C1" s="13" t="s">
        <v>510</v>
      </c>
      <c r="D1" s="7" t="s">
        <v>511</v>
      </c>
      <c r="E1" s="13" t="s">
        <v>512</v>
      </c>
      <c r="F1" s="7" t="s">
        <v>513</v>
      </c>
      <c r="G1" s="13" t="s">
        <v>514</v>
      </c>
      <c r="H1" s="7" t="s">
        <v>515</v>
      </c>
      <c r="I1" s="13" t="s">
        <v>516</v>
      </c>
      <c r="J1" s="7" t="s">
        <v>517</v>
      </c>
      <c r="K1" s="13" t="s">
        <v>518</v>
      </c>
      <c r="L1" s="7" t="s">
        <v>519</v>
      </c>
      <c r="M1" s="13" t="s">
        <v>520</v>
      </c>
    </row>
    <row r="2" spans="1:13" ht="15.75" customHeight="1" x14ac:dyDescent="0.2">
      <c r="A2" s="9" t="s">
        <v>24</v>
      </c>
      <c r="B2" s="9" t="s">
        <v>252</v>
      </c>
      <c r="C2" s="14" t="s">
        <v>521</v>
      </c>
      <c r="D2" t="s">
        <v>522</v>
      </c>
      <c r="E2" s="14" t="s">
        <v>523</v>
      </c>
      <c r="F2" s="9" t="s">
        <v>524</v>
      </c>
      <c r="G2" s="14" t="s">
        <v>525</v>
      </c>
      <c r="H2" s="9"/>
      <c r="I2" s="14"/>
      <c r="J2" s="9"/>
      <c r="K2" s="14"/>
      <c r="L2" s="9"/>
      <c r="M2" s="14"/>
    </row>
    <row r="3" spans="1:13" ht="15.75" customHeight="1" x14ac:dyDescent="0.2">
      <c r="A3" s="11" t="s">
        <v>526</v>
      </c>
      <c r="B3" s="11" t="s">
        <v>527</v>
      </c>
      <c r="C3" s="15" t="s">
        <v>521</v>
      </c>
      <c r="D3" s="11" t="s">
        <v>280</v>
      </c>
      <c r="E3" s="15" t="s">
        <v>523</v>
      </c>
      <c r="F3" s="11" t="s">
        <v>528</v>
      </c>
      <c r="G3" s="15" t="s">
        <v>529</v>
      </c>
      <c r="H3" s="11" t="s">
        <v>524</v>
      </c>
      <c r="I3" s="15" t="s">
        <v>525</v>
      </c>
      <c r="J3" s="11"/>
      <c r="K3" s="15"/>
      <c r="L3" s="11"/>
      <c r="M3" s="15"/>
    </row>
    <row r="4" spans="1:13" ht="15.75" customHeight="1" x14ac:dyDescent="0.2">
      <c r="A4" s="9" t="s">
        <v>30</v>
      </c>
      <c r="B4" s="9" t="s">
        <v>256</v>
      </c>
      <c r="C4" s="14" t="s">
        <v>521</v>
      </c>
      <c r="D4" s="9" t="s">
        <v>530</v>
      </c>
      <c r="E4" s="14" t="s">
        <v>531</v>
      </c>
      <c r="F4" s="9" t="s">
        <v>532</v>
      </c>
      <c r="G4" s="14" t="s">
        <v>529</v>
      </c>
      <c r="H4" s="9" t="s">
        <v>533</v>
      </c>
      <c r="I4" s="14" t="s">
        <v>529</v>
      </c>
      <c r="J4" s="9" t="s">
        <v>534</v>
      </c>
      <c r="K4" s="14" t="s">
        <v>535</v>
      </c>
      <c r="L4" s="9" t="s">
        <v>536</v>
      </c>
      <c r="M4" s="14" t="s">
        <v>525</v>
      </c>
    </row>
    <row r="5" spans="1:13" ht="15.75" customHeight="1" x14ac:dyDescent="0.2">
      <c r="A5" s="11" t="s">
        <v>33</v>
      </c>
      <c r="B5" s="11" t="s">
        <v>257</v>
      </c>
      <c r="C5" s="15" t="s">
        <v>521</v>
      </c>
      <c r="D5" s="11" t="s">
        <v>537</v>
      </c>
      <c r="E5" s="15" t="s">
        <v>531</v>
      </c>
      <c r="F5" s="11" t="s">
        <v>532</v>
      </c>
      <c r="G5" s="15" t="s">
        <v>529</v>
      </c>
      <c r="H5" s="11" t="s">
        <v>533</v>
      </c>
      <c r="I5" s="15" t="s">
        <v>529</v>
      </c>
      <c r="J5" s="11" t="s">
        <v>536</v>
      </c>
      <c r="K5" s="15" t="s">
        <v>525</v>
      </c>
      <c r="L5" s="11"/>
      <c r="M5" s="15"/>
    </row>
    <row r="6" spans="1:13" ht="15.75" customHeight="1" x14ac:dyDescent="0.2">
      <c r="A6" s="9" t="s">
        <v>36</v>
      </c>
      <c r="B6" s="9" t="s">
        <v>538</v>
      </c>
      <c r="C6" s="14" t="s">
        <v>521</v>
      </c>
      <c r="D6" s="9" t="s">
        <v>539</v>
      </c>
      <c r="E6" s="14" t="s">
        <v>540</v>
      </c>
      <c r="F6" s="9" t="s">
        <v>541</v>
      </c>
      <c r="G6" s="14" t="s">
        <v>540</v>
      </c>
      <c r="H6" s="9" t="s">
        <v>542</v>
      </c>
      <c r="I6" s="14" t="s">
        <v>543</v>
      </c>
      <c r="J6" s="9" t="s">
        <v>524</v>
      </c>
      <c r="K6" s="14" t="s">
        <v>525</v>
      </c>
      <c r="L6" s="9"/>
      <c r="M6" s="14"/>
    </row>
    <row r="7" spans="1:13" ht="15.75" customHeight="1" x14ac:dyDescent="0.2">
      <c r="A7" s="11" t="s">
        <v>39</v>
      </c>
      <c r="B7" s="11" t="s">
        <v>544</v>
      </c>
      <c r="C7" s="15" t="s">
        <v>545</v>
      </c>
      <c r="D7" s="11" t="s">
        <v>258</v>
      </c>
      <c r="E7" s="15" t="s">
        <v>546</v>
      </c>
      <c r="F7" s="11" t="s">
        <v>259</v>
      </c>
      <c r="G7" s="15" t="s">
        <v>540</v>
      </c>
      <c r="H7" s="11" t="s">
        <v>547</v>
      </c>
      <c r="I7" s="15" t="s">
        <v>548</v>
      </c>
      <c r="J7" s="11" t="s">
        <v>247</v>
      </c>
      <c r="K7" s="15" t="s">
        <v>549</v>
      </c>
      <c r="L7" s="11" t="s">
        <v>524</v>
      </c>
      <c r="M7" s="15" t="s">
        <v>525</v>
      </c>
    </row>
    <row r="8" spans="1:13" ht="15.75" customHeight="1" x14ac:dyDescent="0.2">
      <c r="A8" s="9" t="s">
        <v>482</v>
      </c>
      <c r="B8" s="9" t="s">
        <v>263</v>
      </c>
      <c r="C8" s="14" t="s">
        <v>550</v>
      </c>
      <c r="D8" s="9" t="s">
        <v>154</v>
      </c>
      <c r="E8" s="14" t="s">
        <v>551</v>
      </c>
      <c r="F8" s="9" t="s">
        <v>524</v>
      </c>
      <c r="G8" s="14" t="s">
        <v>525</v>
      </c>
      <c r="H8" s="9"/>
      <c r="I8" s="14"/>
      <c r="J8" s="9"/>
      <c r="K8" s="14"/>
      <c r="L8" s="9"/>
      <c r="M8" s="14"/>
    </row>
    <row r="9" spans="1:13" ht="15.75" customHeight="1" x14ac:dyDescent="0.2">
      <c r="A9" s="11" t="s">
        <v>27</v>
      </c>
      <c r="B9" s="11" t="s">
        <v>256</v>
      </c>
      <c r="C9" s="15" t="s">
        <v>521</v>
      </c>
      <c r="D9" s="11" t="s">
        <v>552</v>
      </c>
      <c r="E9" s="15" t="s">
        <v>553</v>
      </c>
      <c r="F9" s="11" t="s">
        <v>554</v>
      </c>
      <c r="G9" s="15" t="s">
        <v>540</v>
      </c>
      <c r="H9" s="11" t="s">
        <v>524</v>
      </c>
      <c r="I9" s="15" t="s">
        <v>442</v>
      </c>
      <c r="J9" s="11"/>
      <c r="K9" s="15"/>
      <c r="L9" s="11"/>
      <c r="M9" s="15"/>
    </row>
    <row r="10" spans="1:13" ht="15.75" customHeight="1" x14ac:dyDescent="0.2">
      <c r="A10" s="9" t="s">
        <v>42</v>
      </c>
      <c r="B10" s="9" t="s">
        <v>245</v>
      </c>
      <c r="C10" s="14" t="s">
        <v>521</v>
      </c>
      <c r="D10" s="9" t="s">
        <v>555</v>
      </c>
      <c r="E10" s="14" t="s">
        <v>550</v>
      </c>
      <c r="F10" s="9" t="s">
        <v>556</v>
      </c>
      <c r="G10" s="14" t="s">
        <v>548</v>
      </c>
      <c r="H10" s="9" t="s">
        <v>557</v>
      </c>
      <c r="I10" s="14" t="s">
        <v>529</v>
      </c>
      <c r="J10" s="9" t="s">
        <v>524</v>
      </c>
      <c r="K10" s="14" t="s">
        <v>525</v>
      </c>
      <c r="L10" s="9"/>
      <c r="M10" s="14"/>
    </row>
    <row r="11" spans="1:13" ht="15.75" customHeight="1" x14ac:dyDescent="0.2">
      <c r="A11" s="11" t="s">
        <v>44</v>
      </c>
      <c r="B11" s="11" t="s">
        <v>558</v>
      </c>
      <c r="C11" s="15" t="s">
        <v>521</v>
      </c>
      <c r="D11" s="11" t="s">
        <v>559</v>
      </c>
      <c r="E11" s="15" t="s">
        <v>531</v>
      </c>
      <c r="F11" s="11" t="s">
        <v>542</v>
      </c>
      <c r="G11" s="15" t="s">
        <v>540</v>
      </c>
      <c r="H11" s="11" t="s">
        <v>528</v>
      </c>
      <c r="I11" s="15" t="s">
        <v>529</v>
      </c>
      <c r="J11" s="11" t="s">
        <v>524</v>
      </c>
      <c r="K11" s="15" t="s">
        <v>525</v>
      </c>
      <c r="L11" s="11"/>
      <c r="M11" s="15"/>
    </row>
    <row r="12" spans="1:13" ht="15.75" customHeight="1" x14ac:dyDescent="0.2">
      <c r="A12" s="9" t="s">
        <v>47</v>
      </c>
      <c r="B12" s="9" t="s">
        <v>48</v>
      </c>
      <c r="C12" s="14" t="s">
        <v>550</v>
      </c>
      <c r="D12" s="9" t="s">
        <v>560</v>
      </c>
      <c r="E12" s="14" t="s">
        <v>561</v>
      </c>
      <c r="F12" s="9" t="s">
        <v>524</v>
      </c>
      <c r="G12" s="14" t="s">
        <v>525</v>
      </c>
      <c r="H12" s="9"/>
      <c r="I12" s="14"/>
      <c r="J12" s="9"/>
      <c r="K12" s="14"/>
      <c r="L12" s="9"/>
      <c r="M12" s="14"/>
    </row>
    <row r="13" spans="1:13" ht="15.75" customHeight="1" x14ac:dyDescent="0.2">
      <c r="A13" s="11" t="s">
        <v>562</v>
      </c>
      <c r="B13" s="11" t="s">
        <v>265</v>
      </c>
      <c r="C13" s="15" t="s">
        <v>550</v>
      </c>
      <c r="D13" s="11" t="s">
        <v>563</v>
      </c>
      <c r="E13" s="15" t="s">
        <v>564</v>
      </c>
      <c r="F13" s="11" t="s">
        <v>524</v>
      </c>
      <c r="G13" s="15" t="s">
        <v>525</v>
      </c>
      <c r="H13" s="11"/>
      <c r="I13" s="15"/>
      <c r="J13" s="11"/>
      <c r="K13" s="15"/>
      <c r="L13" s="11"/>
      <c r="M13" s="15"/>
    </row>
    <row r="14" spans="1:13" ht="15.75" customHeight="1" x14ac:dyDescent="0.2">
      <c r="A14" s="9" t="s">
        <v>50</v>
      </c>
      <c r="B14" s="9" t="s">
        <v>565</v>
      </c>
      <c r="C14" s="14" t="s">
        <v>548</v>
      </c>
      <c r="D14" s="9" t="s">
        <v>54</v>
      </c>
      <c r="E14" s="14" t="s">
        <v>548</v>
      </c>
      <c r="F14" s="9" t="s">
        <v>566</v>
      </c>
      <c r="G14" s="14" t="s">
        <v>548</v>
      </c>
      <c r="H14" s="9" t="s">
        <v>557</v>
      </c>
      <c r="I14" s="14" t="s">
        <v>529</v>
      </c>
      <c r="J14" s="9" t="s">
        <v>524</v>
      </c>
      <c r="K14" s="14" t="s">
        <v>525</v>
      </c>
      <c r="L14" s="9"/>
      <c r="M14" s="14"/>
    </row>
    <row r="15" spans="1:13" ht="15.75" customHeight="1" x14ac:dyDescent="0.2">
      <c r="A15" s="11" t="s">
        <v>87</v>
      </c>
      <c r="B15" s="11" t="s">
        <v>567</v>
      </c>
      <c r="C15" s="15" t="s">
        <v>550</v>
      </c>
      <c r="D15" s="11" t="s">
        <v>524</v>
      </c>
      <c r="E15" s="15" t="s">
        <v>525</v>
      </c>
      <c r="F15" s="11"/>
      <c r="G15" s="15"/>
      <c r="H15" s="11"/>
      <c r="I15" s="15"/>
      <c r="J15" s="11"/>
      <c r="K15" s="15"/>
      <c r="L15" s="11"/>
      <c r="M15" s="15"/>
    </row>
    <row r="16" spans="1:13" ht="15.75" customHeight="1" x14ac:dyDescent="0.2">
      <c r="A16" s="9" t="s">
        <v>468</v>
      </c>
      <c r="B16" s="9" t="s">
        <v>249</v>
      </c>
      <c r="C16" s="14" t="s">
        <v>521</v>
      </c>
      <c r="D16" s="9" t="s">
        <v>568</v>
      </c>
      <c r="E16" s="14" t="s">
        <v>529</v>
      </c>
      <c r="F16" s="9" t="s">
        <v>569</v>
      </c>
      <c r="G16" s="14" t="s">
        <v>570</v>
      </c>
      <c r="H16" s="9" t="s">
        <v>536</v>
      </c>
      <c r="I16" s="14" t="s">
        <v>525</v>
      </c>
      <c r="J16" s="9"/>
      <c r="K16" s="14"/>
      <c r="L16" s="9"/>
      <c r="M16" s="14"/>
    </row>
    <row r="17" spans="1:13" ht="15.75" customHeight="1" x14ac:dyDescent="0.2">
      <c r="A17" s="11" t="s">
        <v>474</v>
      </c>
      <c r="B17" s="11" t="s">
        <v>251</v>
      </c>
      <c r="C17" s="15" t="s">
        <v>521</v>
      </c>
      <c r="D17" s="11" t="s">
        <v>271</v>
      </c>
      <c r="E17" s="15" t="s">
        <v>531</v>
      </c>
      <c r="F17" s="11" t="s">
        <v>571</v>
      </c>
      <c r="G17" s="15" t="s">
        <v>529</v>
      </c>
      <c r="H17" s="11" t="s">
        <v>542</v>
      </c>
      <c r="I17" s="15" t="s">
        <v>540</v>
      </c>
      <c r="J17" s="11" t="s">
        <v>569</v>
      </c>
      <c r="K17" s="15" t="s">
        <v>408</v>
      </c>
      <c r="L17" s="11" t="s">
        <v>524</v>
      </c>
      <c r="M17" s="15" t="s">
        <v>525</v>
      </c>
    </row>
    <row r="18" spans="1:13" ht="15.75" customHeight="1" x14ac:dyDescent="0.2">
      <c r="A18" s="9" t="s">
        <v>53</v>
      </c>
      <c r="B18" s="9" t="s">
        <v>54</v>
      </c>
      <c r="C18" s="14" t="s">
        <v>521</v>
      </c>
      <c r="D18" s="9" t="s">
        <v>572</v>
      </c>
      <c r="E18" s="14" t="s">
        <v>531</v>
      </c>
      <c r="F18" s="9" t="s">
        <v>557</v>
      </c>
      <c r="G18" s="14" t="s">
        <v>529</v>
      </c>
      <c r="H18" s="9" t="s">
        <v>524</v>
      </c>
      <c r="I18" s="14" t="s">
        <v>525</v>
      </c>
      <c r="J18" s="9"/>
      <c r="K18" s="14"/>
      <c r="L18" s="9"/>
      <c r="M18" s="14"/>
    </row>
    <row r="19" spans="1:13" ht="15.75" customHeight="1" x14ac:dyDescent="0.2">
      <c r="A19" s="11" t="s">
        <v>484</v>
      </c>
      <c r="B19" s="11" t="s">
        <v>573</v>
      </c>
      <c r="C19" s="15" t="s">
        <v>550</v>
      </c>
      <c r="D19" s="11" t="s">
        <v>291</v>
      </c>
      <c r="E19" s="15" t="s">
        <v>574</v>
      </c>
      <c r="F19" s="11" t="s">
        <v>528</v>
      </c>
      <c r="G19" s="15" t="s">
        <v>529</v>
      </c>
      <c r="H19" s="11" t="s">
        <v>557</v>
      </c>
      <c r="I19" s="15" t="s">
        <v>545</v>
      </c>
      <c r="J19" s="11" t="s">
        <v>524</v>
      </c>
      <c r="K19" s="15" t="s">
        <v>525</v>
      </c>
      <c r="L19" s="11"/>
      <c r="M19" s="15"/>
    </row>
    <row r="20" spans="1:13" ht="15.75" customHeight="1" x14ac:dyDescent="0.2">
      <c r="A20" s="9" t="s">
        <v>483</v>
      </c>
      <c r="B20" s="9" t="s">
        <v>263</v>
      </c>
      <c r="C20" s="14" t="s">
        <v>521</v>
      </c>
      <c r="D20" s="9" t="s">
        <v>537</v>
      </c>
      <c r="E20" s="14" t="s">
        <v>523</v>
      </c>
      <c r="F20" s="9" t="s">
        <v>528</v>
      </c>
      <c r="G20" s="14" t="s">
        <v>529</v>
      </c>
      <c r="H20" s="9" t="s">
        <v>524</v>
      </c>
      <c r="I20" s="14" t="s">
        <v>525</v>
      </c>
      <c r="J20" s="9"/>
      <c r="K20" s="14"/>
      <c r="L20" s="9"/>
      <c r="M20" s="1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26"/>
  <sheetViews>
    <sheetView tabSelected="1" zoomScaleNormal="100" workbookViewId="0">
      <selection activeCell="D34" sqref="D34"/>
    </sheetView>
  </sheetViews>
  <sheetFormatPr baseColWidth="10" defaultColWidth="8.83203125" defaultRowHeight="15" x14ac:dyDescent="0.2"/>
  <cols>
    <col min="1" max="1" width="28" customWidth="1"/>
    <col min="2" max="2" width="32" customWidth="1"/>
    <col min="3" max="3" width="26" customWidth="1"/>
    <col min="4" max="4" width="14" customWidth="1"/>
    <col min="5" max="5" width="26" customWidth="1"/>
    <col min="6" max="6" width="14" customWidth="1"/>
    <col min="7" max="7" width="26" customWidth="1"/>
    <col min="8" max="8" width="14" customWidth="1"/>
    <col min="9" max="9" width="26" customWidth="1"/>
    <col min="10" max="10" width="14" customWidth="1"/>
    <col min="11" max="11" width="26" customWidth="1"/>
    <col min="12" max="12" width="14" customWidth="1"/>
    <col min="13" max="13" width="26" customWidth="1"/>
    <col min="14" max="14" width="14" customWidth="1"/>
    <col min="15" max="15" width="26" customWidth="1"/>
    <col min="16" max="16" width="14" customWidth="1"/>
    <col min="17" max="17" width="26" customWidth="1"/>
    <col min="18" max="18" width="14" customWidth="1"/>
    <col min="19" max="19" width="26" customWidth="1"/>
    <col min="20" max="20" width="14" customWidth="1"/>
  </cols>
  <sheetData>
    <row r="1" spans="1:20" ht="15.75" customHeight="1" x14ac:dyDescent="0.2">
      <c r="A1" s="7" t="s">
        <v>1</v>
      </c>
      <c r="B1" s="7" t="s">
        <v>575</v>
      </c>
      <c r="C1" s="7" t="s">
        <v>509</v>
      </c>
      <c r="D1" s="13" t="s">
        <v>510</v>
      </c>
      <c r="E1" s="7" t="s">
        <v>511</v>
      </c>
      <c r="F1" s="13" t="s">
        <v>512</v>
      </c>
      <c r="G1" s="7" t="s">
        <v>513</v>
      </c>
      <c r="H1" s="13" t="s">
        <v>514</v>
      </c>
      <c r="I1" s="7" t="s">
        <v>515</v>
      </c>
      <c r="J1" s="13" t="s">
        <v>516</v>
      </c>
      <c r="K1" s="7" t="s">
        <v>517</v>
      </c>
      <c r="L1" s="13" t="s">
        <v>518</v>
      </c>
      <c r="M1" s="7" t="s">
        <v>519</v>
      </c>
      <c r="N1" s="13" t="s">
        <v>520</v>
      </c>
      <c r="O1" s="7" t="s">
        <v>576</v>
      </c>
      <c r="P1" s="13" t="s">
        <v>577</v>
      </c>
      <c r="Q1" s="7" t="s">
        <v>578</v>
      </c>
      <c r="R1" s="13" t="s">
        <v>579</v>
      </c>
      <c r="S1" s="7" t="s">
        <v>580</v>
      </c>
      <c r="T1" s="13" t="s">
        <v>581</v>
      </c>
    </row>
    <row r="2" spans="1:20" ht="15.75" customHeight="1" x14ac:dyDescent="0.2">
      <c r="A2" s="9" t="s">
        <v>494</v>
      </c>
      <c r="B2" s="9" t="s">
        <v>495</v>
      </c>
      <c r="C2" s="9" t="s">
        <v>582</v>
      </c>
      <c r="D2" s="14" t="s">
        <v>583</v>
      </c>
      <c r="E2" s="9" t="s">
        <v>584</v>
      </c>
      <c r="F2" s="14" t="s">
        <v>583</v>
      </c>
      <c r="G2" s="9" t="s">
        <v>368</v>
      </c>
      <c r="H2" s="14" t="s">
        <v>585</v>
      </c>
      <c r="I2" s="9" t="s">
        <v>586</v>
      </c>
      <c r="J2" s="14" t="s">
        <v>587</v>
      </c>
      <c r="K2" s="9" t="s">
        <v>304</v>
      </c>
      <c r="L2" s="14" t="s">
        <v>585</v>
      </c>
      <c r="M2" s="9"/>
      <c r="N2" s="14"/>
      <c r="O2" s="9"/>
      <c r="P2" s="14"/>
      <c r="Q2" s="9"/>
      <c r="R2" s="14"/>
      <c r="S2" s="9"/>
      <c r="T2" s="14"/>
    </row>
    <row r="3" spans="1:20" ht="15.75" customHeight="1" x14ac:dyDescent="0.2">
      <c r="A3" s="11" t="s">
        <v>494</v>
      </c>
      <c r="B3" s="11" t="s">
        <v>496</v>
      </c>
      <c r="C3" s="11" t="s">
        <v>308</v>
      </c>
      <c r="D3" s="15" t="s">
        <v>588</v>
      </c>
      <c r="E3" s="11" t="s">
        <v>589</v>
      </c>
      <c r="F3" s="15" t="s">
        <v>590</v>
      </c>
      <c r="G3" s="11" t="s">
        <v>398</v>
      </c>
      <c r="H3" s="15" t="s">
        <v>591</v>
      </c>
      <c r="I3" s="11" t="s">
        <v>592</v>
      </c>
      <c r="J3" s="15" t="s">
        <v>593</v>
      </c>
      <c r="K3" s="11" t="s">
        <v>337</v>
      </c>
      <c r="L3" s="15" t="s">
        <v>594</v>
      </c>
      <c r="M3" s="11" t="s">
        <v>335</v>
      </c>
      <c r="N3" s="15" t="s">
        <v>595</v>
      </c>
      <c r="O3" s="11"/>
      <c r="P3" s="15"/>
      <c r="Q3" s="11"/>
      <c r="R3" s="15"/>
      <c r="S3" s="11"/>
      <c r="T3" s="15"/>
    </row>
    <row r="4" spans="1:20" ht="15.75" customHeight="1" x14ac:dyDescent="0.2">
      <c r="A4" s="9" t="s">
        <v>163</v>
      </c>
      <c r="B4" s="9" t="s">
        <v>162</v>
      </c>
      <c r="C4" s="9" t="s">
        <v>371</v>
      </c>
      <c r="D4" s="14" t="s">
        <v>545</v>
      </c>
      <c r="E4" s="9" t="s">
        <v>596</v>
      </c>
      <c r="F4" s="14" t="s">
        <v>588</v>
      </c>
      <c r="G4" s="9" t="s">
        <v>597</v>
      </c>
      <c r="H4" s="14" t="s">
        <v>593</v>
      </c>
      <c r="I4" s="9" t="s">
        <v>598</v>
      </c>
      <c r="J4" s="14" t="s">
        <v>593</v>
      </c>
      <c r="K4" s="9" t="s">
        <v>599</v>
      </c>
      <c r="L4" s="14" t="s">
        <v>587</v>
      </c>
      <c r="M4" s="9"/>
      <c r="N4" s="14"/>
      <c r="O4" s="9"/>
      <c r="P4" s="14"/>
      <c r="Q4" s="9"/>
      <c r="R4" s="14"/>
      <c r="S4" s="9"/>
      <c r="T4" s="14"/>
    </row>
    <row r="5" spans="1:20" ht="15.75" customHeight="1" x14ac:dyDescent="0.2">
      <c r="A5" s="11" t="s">
        <v>163</v>
      </c>
      <c r="B5" s="11" t="s">
        <v>166</v>
      </c>
      <c r="C5" s="11" t="s">
        <v>600</v>
      </c>
      <c r="D5" s="15" t="s">
        <v>583</v>
      </c>
      <c r="E5" s="11" t="s">
        <v>601</v>
      </c>
      <c r="F5" s="15" t="s">
        <v>583</v>
      </c>
      <c r="G5" s="11" t="s">
        <v>602</v>
      </c>
      <c r="H5" s="15" t="s">
        <v>545</v>
      </c>
      <c r="I5" s="11" t="s">
        <v>603</v>
      </c>
      <c r="J5" s="15" t="s">
        <v>604</v>
      </c>
      <c r="K5" s="11" t="s">
        <v>605</v>
      </c>
      <c r="L5" s="15" t="s">
        <v>585</v>
      </c>
      <c r="M5" s="11" t="s">
        <v>606</v>
      </c>
      <c r="N5" s="15" t="s">
        <v>545</v>
      </c>
      <c r="O5" s="11"/>
      <c r="P5" s="15"/>
      <c r="Q5" s="11"/>
      <c r="R5" s="15"/>
      <c r="S5" s="11"/>
      <c r="T5" s="15"/>
    </row>
    <row r="6" spans="1:20" ht="15.75" customHeight="1" x14ac:dyDescent="0.2">
      <c r="A6" s="9" t="s">
        <v>163</v>
      </c>
      <c r="B6" s="9" t="s">
        <v>169</v>
      </c>
      <c r="C6" s="9" t="s">
        <v>607</v>
      </c>
      <c r="D6" s="14" t="s">
        <v>608</v>
      </c>
      <c r="E6" s="9" t="s">
        <v>609</v>
      </c>
      <c r="F6" s="14" t="s">
        <v>545</v>
      </c>
      <c r="G6" s="9" t="s">
        <v>603</v>
      </c>
      <c r="H6" s="14" t="s">
        <v>593</v>
      </c>
      <c r="I6" s="9" t="s">
        <v>610</v>
      </c>
      <c r="J6" s="14" t="s">
        <v>611</v>
      </c>
      <c r="K6" s="9" t="s">
        <v>612</v>
      </c>
      <c r="L6" s="14" t="s">
        <v>613</v>
      </c>
      <c r="M6" s="9" t="s">
        <v>319</v>
      </c>
      <c r="N6" s="14" t="s">
        <v>611</v>
      </c>
      <c r="O6" s="9" t="s">
        <v>325</v>
      </c>
      <c r="P6" s="14" t="s">
        <v>594</v>
      </c>
      <c r="Q6" s="9"/>
      <c r="R6" s="14"/>
      <c r="S6" s="9"/>
      <c r="T6" s="14"/>
    </row>
    <row r="7" spans="1:20" ht="15.75" customHeight="1" x14ac:dyDescent="0.2">
      <c r="A7" s="11" t="s">
        <v>163</v>
      </c>
      <c r="B7" s="11" t="s">
        <v>172</v>
      </c>
      <c r="C7" s="11" t="s">
        <v>614</v>
      </c>
      <c r="D7" s="15" t="s">
        <v>615</v>
      </c>
      <c r="E7" s="11" t="s">
        <v>616</v>
      </c>
      <c r="F7" s="15" t="s">
        <v>545</v>
      </c>
      <c r="G7" s="11" t="s">
        <v>617</v>
      </c>
      <c r="H7" s="15" t="s">
        <v>591</v>
      </c>
      <c r="I7" s="11" t="s">
        <v>389</v>
      </c>
      <c r="J7" s="15" t="s">
        <v>593</v>
      </c>
      <c r="K7" s="11"/>
      <c r="L7" s="15"/>
      <c r="M7" s="11"/>
      <c r="N7" s="15"/>
      <c r="O7" s="11"/>
      <c r="P7" s="15"/>
      <c r="Q7" s="11"/>
      <c r="R7" s="15"/>
      <c r="S7" s="11"/>
      <c r="T7" s="15"/>
    </row>
    <row r="8" spans="1:20" ht="15.75" customHeight="1" x14ac:dyDescent="0.2">
      <c r="A8" s="9" t="s">
        <v>163</v>
      </c>
      <c r="B8" s="9" t="s">
        <v>175</v>
      </c>
      <c r="C8" s="9" t="s">
        <v>607</v>
      </c>
      <c r="D8" s="14" t="s">
        <v>588</v>
      </c>
      <c r="E8" s="9" t="s">
        <v>618</v>
      </c>
      <c r="F8" s="14" t="s">
        <v>545</v>
      </c>
      <c r="G8" s="9" t="s">
        <v>603</v>
      </c>
      <c r="H8" s="14" t="s">
        <v>593</v>
      </c>
      <c r="I8" s="9" t="s">
        <v>619</v>
      </c>
      <c r="J8" s="14" t="s">
        <v>611</v>
      </c>
      <c r="K8" s="9" t="s">
        <v>598</v>
      </c>
      <c r="L8" s="14" t="s">
        <v>587</v>
      </c>
      <c r="M8" s="9" t="s">
        <v>333</v>
      </c>
      <c r="N8" s="14" t="s">
        <v>620</v>
      </c>
      <c r="O8" s="9"/>
      <c r="P8" s="14"/>
      <c r="Q8" s="9"/>
      <c r="R8" s="14"/>
      <c r="S8" s="9"/>
      <c r="T8" s="14"/>
    </row>
    <row r="9" spans="1:20" ht="15.75" customHeight="1" x14ac:dyDescent="0.2">
      <c r="A9" s="11" t="s">
        <v>163</v>
      </c>
      <c r="B9" s="11" t="s">
        <v>497</v>
      </c>
      <c r="C9" s="11" t="s">
        <v>621</v>
      </c>
      <c r="D9" s="15" t="s">
        <v>615</v>
      </c>
      <c r="E9" s="11" t="s">
        <v>622</v>
      </c>
      <c r="F9" s="15" t="s">
        <v>545</v>
      </c>
      <c r="G9" s="11" t="s">
        <v>623</v>
      </c>
      <c r="H9" s="15" t="s">
        <v>593</v>
      </c>
      <c r="I9" s="11" t="s">
        <v>624</v>
      </c>
      <c r="J9" s="15" t="s">
        <v>611</v>
      </c>
      <c r="K9" s="11" t="s">
        <v>625</v>
      </c>
      <c r="L9" s="15" t="s">
        <v>611</v>
      </c>
      <c r="M9" s="11" t="s">
        <v>331</v>
      </c>
      <c r="N9" s="15" t="s">
        <v>587</v>
      </c>
      <c r="O9" s="11"/>
      <c r="P9" s="15"/>
      <c r="Q9" s="11"/>
      <c r="R9" s="15"/>
      <c r="S9" s="11"/>
      <c r="T9" s="15"/>
    </row>
    <row r="10" spans="1:20" ht="15.75" customHeight="1" x14ac:dyDescent="0.2">
      <c r="A10" s="9" t="s">
        <v>163</v>
      </c>
      <c r="B10" s="9" t="s">
        <v>178</v>
      </c>
      <c r="C10" s="9" t="s">
        <v>626</v>
      </c>
      <c r="D10" s="14" t="s">
        <v>627</v>
      </c>
      <c r="E10" s="9" t="s">
        <v>628</v>
      </c>
      <c r="F10" s="14" t="s">
        <v>545</v>
      </c>
      <c r="G10" s="9" t="s">
        <v>629</v>
      </c>
      <c r="H10" s="14" t="s">
        <v>630</v>
      </c>
      <c r="I10" s="9" t="s">
        <v>311</v>
      </c>
      <c r="J10" s="14" t="s">
        <v>587</v>
      </c>
      <c r="K10" s="9"/>
      <c r="L10" s="14"/>
      <c r="M10" s="9"/>
      <c r="N10" s="14"/>
      <c r="O10" s="9"/>
      <c r="P10" s="14"/>
      <c r="Q10" s="9"/>
      <c r="R10" s="14"/>
      <c r="S10" s="9"/>
      <c r="T10" s="14"/>
    </row>
    <row r="11" spans="1:20" ht="15.75" customHeight="1" x14ac:dyDescent="0.2">
      <c r="A11" s="11" t="s">
        <v>182</v>
      </c>
      <c r="B11" s="11" t="s">
        <v>181</v>
      </c>
      <c r="C11" s="11" t="s">
        <v>631</v>
      </c>
      <c r="D11" s="15" t="s">
        <v>632</v>
      </c>
      <c r="E11" s="11" t="s">
        <v>633</v>
      </c>
      <c r="F11" s="15" t="s">
        <v>591</v>
      </c>
      <c r="G11" s="11" t="s">
        <v>634</v>
      </c>
      <c r="H11" s="15" t="s">
        <v>591</v>
      </c>
      <c r="I11" s="11" t="s">
        <v>605</v>
      </c>
      <c r="J11" s="15" t="s">
        <v>585</v>
      </c>
      <c r="K11" s="11" t="s">
        <v>635</v>
      </c>
      <c r="L11" s="15" t="s">
        <v>636</v>
      </c>
      <c r="M11" s="11"/>
      <c r="N11" s="15"/>
      <c r="O11" s="11"/>
      <c r="P11" s="15"/>
      <c r="Q11" s="11"/>
      <c r="R11" s="15"/>
      <c r="S11" s="11"/>
      <c r="T11" s="15"/>
    </row>
    <row r="12" spans="1:20" ht="15.75" customHeight="1" x14ac:dyDescent="0.2">
      <c r="A12" s="9" t="s">
        <v>182</v>
      </c>
      <c r="B12" s="9" t="s">
        <v>498</v>
      </c>
      <c r="C12" s="9" t="s">
        <v>343</v>
      </c>
      <c r="D12" s="14" t="s">
        <v>637</v>
      </c>
      <c r="E12" s="9" t="s">
        <v>331</v>
      </c>
      <c r="F12" s="14" t="s">
        <v>585</v>
      </c>
      <c r="G12" s="9" t="s">
        <v>638</v>
      </c>
      <c r="H12" s="14" t="s">
        <v>587</v>
      </c>
      <c r="I12" s="9" t="s">
        <v>639</v>
      </c>
      <c r="J12" s="14" t="s">
        <v>595</v>
      </c>
      <c r="K12" s="9"/>
      <c r="L12" s="14"/>
      <c r="M12" s="9"/>
      <c r="N12" s="14"/>
      <c r="O12" s="9"/>
      <c r="P12" s="14"/>
      <c r="Q12" s="9"/>
      <c r="R12" s="14"/>
      <c r="S12" s="9"/>
      <c r="T12" s="14"/>
    </row>
    <row r="13" spans="1:20" ht="15.75" customHeight="1" x14ac:dyDescent="0.2">
      <c r="A13" s="11" t="s">
        <v>182</v>
      </c>
      <c r="B13" s="11" t="s">
        <v>185</v>
      </c>
      <c r="C13" s="11" t="s">
        <v>640</v>
      </c>
      <c r="D13" s="15" t="s">
        <v>641</v>
      </c>
      <c r="E13" s="11" t="s">
        <v>606</v>
      </c>
      <c r="F13" s="15" t="s">
        <v>642</v>
      </c>
      <c r="G13" s="11" t="s">
        <v>643</v>
      </c>
      <c r="H13" s="15" t="s">
        <v>585</v>
      </c>
      <c r="I13" s="11" t="s">
        <v>644</v>
      </c>
      <c r="J13" s="15" t="s">
        <v>613</v>
      </c>
      <c r="K13" s="11"/>
      <c r="L13" s="15"/>
      <c r="M13" s="11"/>
      <c r="N13" s="15"/>
      <c r="O13" s="11"/>
      <c r="P13" s="15"/>
      <c r="Q13" s="11"/>
      <c r="R13" s="15"/>
      <c r="S13" s="11"/>
      <c r="T13" s="15"/>
    </row>
    <row r="14" spans="1:20" ht="15.75" customHeight="1" x14ac:dyDescent="0.2">
      <c r="A14" s="9" t="s">
        <v>182</v>
      </c>
      <c r="B14" s="9" t="s">
        <v>188</v>
      </c>
      <c r="C14" s="9" t="s">
        <v>645</v>
      </c>
      <c r="D14" s="14" t="s">
        <v>641</v>
      </c>
      <c r="E14" s="9" t="s">
        <v>646</v>
      </c>
      <c r="F14" s="14" t="s">
        <v>604</v>
      </c>
      <c r="G14" s="9" t="s">
        <v>647</v>
      </c>
      <c r="H14" s="14" t="s">
        <v>593</v>
      </c>
      <c r="I14" s="9"/>
      <c r="J14" s="14"/>
      <c r="K14" s="9"/>
      <c r="L14" s="14"/>
      <c r="M14" s="9"/>
      <c r="N14" s="14"/>
      <c r="O14" s="9"/>
      <c r="P14" s="14"/>
      <c r="Q14" s="9"/>
      <c r="R14" s="14"/>
      <c r="S14" s="9"/>
      <c r="T14" s="14"/>
    </row>
    <row r="15" spans="1:20" ht="15.75" customHeight="1" x14ac:dyDescent="0.2">
      <c r="A15" s="11" t="s">
        <v>182</v>
      </c>
      <c r="B15" s="11" t="s">
        <v>191</v>
      </c>
      <c r="C15" s="11" t="s">
        <v>645</v>
      </c>
      <c r="D15" s="15" t="s">
        <v>641</v>
      </c>
      <c r="E15" s="11" t="s">
        <v>330</v>
      </c>
      <c r="F15" s="15" t="s">
        <v>594</v>
      </c>
      <c r="G15" s="11" t="s">
        <v>639</v>
      </c>
      <c r="H15" s="15" t="s">
        <v>648</v>
      </c>
      <c r="I15" s="11"/>
      <c r="J15" s="15"/>
      <c r="K15" s="11"/>
      <c r="L15" s="15"/>
      <c r="M15" s="11"/>
      <c r="N15" s="15"/>
      <c r="O15" s="11"/>
      <c r="P15" s="15"/>
      <c r="Q15" s="11"/>
      <c r="R15" s="15"/>
      <c r="S15" s="11"/>
      <c r="T15" s="15"/>
    </row>
    <row r="16" spans="1:20" ht="15.75" customHeight="1" x14ac:dyDescent="0.2">
      <c r="A16" s="9" t="s">
        <v>182</v>
      </c>
      <c r="B16" s="9" t="s">
        <v>194</v>
      </c>
      <c r="C16" s="9" t="s">
        <v>645</v>
      </c>
      <c r="D16" s="14" t="s">
        <v>641</v>
      </c>
      <c r="E16" s="9" t="s">
        <v>649</v>
      </c>
      <c r="F16" s="14" t="s">
        <v>583</v>
      </c>
      <c r="G16" s="9" t="s">
        <v>650</v>
      </c>
      <c r="H16" s="14" t="s">
        <v>587</v>
      </c>
      <c r="I16" s="9"/>
      <c r="J16" s="14"/>
      <c r="K16" s="9"/>
      <c r="L16" s="14"/>
      <c r="M16" s="9"/>
      <c r="N16" s="14"/>
      <c r="O16" s="9"/>
      <c r="P16" s="14"/>
      <c r="Q16" s="9"/>
      <c r="R16" s="14"/>
      <c r="S16" s="9"/>
      <c r="T16" s="14"/>
    </row>
    <row r="17" spans="1:20" ht="15.75" customHeight="1" x14ac:dyDescent="0.2">
      <c r="A17" s="11" t="s">
        <v>182</v>
      </c>
      <c r="B17" s="11" t="s">
        <v>197</v>
      </c>
      <c r="C17" s="11" t="s">
        <v>651</v>
      </c>
      <c r="D17" s="15" t="s">
        <v>630</v>
      </c>
      <c r="E17" s="11" t="s">
        <v>652</v>
      </c>
      <c r="F17" s="15" t="s">
        <v>630</v>
      </c>
      <c r="G17" s="11" t="s">
        <v>354</v>
      </c>
      <c r="H17" s="15" t="s">
        <v>630</v>
      </c>
      <c r="I17" s="11" t="s">
        <v>364</v>
      </c>
      <c r="J17" s="15" t="s">
        <v>653</v>
      </c>
      <c r="K17" s="11" t="s">
        <v>654</v>
      </c>
      <c r="L17" s="15" t="s">
        <v>653</v>
      </c>
      <c r="M17" s="11" t="s">
        <v>356</v>
      </c>
      <c r="N17" s="15" t="s">
        <v>593</v>
      </c>
      <c r="O17" s="11" t="s">
        <v>655</v>
      </c>
      <c r="P17" s="15" t="s">
        <v>591</v>
      </c>
      <c r="Q17" s="11" t="s">
        <v>321</v>
      </c>
      <c r="R17" s="15" t="s">
        <v>591</v>
      </c>
      <c r="S17" s="11" t="s">
        <v>377</v>
      </c>
      <c r="T17" s="15" t="s">
        <v>590</v>
      </c>
    </row>
    <row r="18" spans="1:20" ht="15.75" customHeight="1" x14ac:dyDescent="0.2">
      <c r="A18" s="9" t="s">
        <v>201</v>
      </c>
      <c r="B18" s="9" t="s">
        <v>200</v>
      </c>
      <c r="C18" s="9" t="s">
        <v>656</v>
      </c>
      <c r="D18" s="14" t="s">
        <v>657</v>
      </c>
      <c r="E18" s="9" t="s">
        <v>658</v>
      </c>
      <c r="F18" s="14" t="s">
        <v>657</v>
      </c>
      <c r="G18" s="9" t="s">
        <v>659</v>
      </c>
      <c r="H18" s="14" t="s">
        <v>657</v>
      </c>
      <c r="I18" s="9" t="s">
        <v>327</v>
      </c>
      <c r="J18" s="14" t="s">
        <v>660</v>
      </c>
      <c r="K18" s="9" t="s">
        <v>661</v>
      </c>
      <c r="L18" s="14" t="s">
        <v>662</v>
      </c>
      <c r="M18" s="9" t="s">
        <v>663</v>
      </c>
      <c r="N18" s="14" t="s">
        <v>664</v>
      </c>
      <c r="O18" s="9"/>
      <c r="P18" s="14"/>
      <c r="Q18" s="9"/>
      <c r="R18" s="14"/>
      <c r="S18" s="9"/>
      <c r="T18" s="14"/>
    </row>
    <row r="19" spans="1:20" ht="15.75" customHeight="1" x14ac:dyDescent="0.2">
      <c r="A19" s="11" t="s">
        <v>201</v>
      </c>
      <c r="B19" s="11" t="s">
        <v>204</v>
      </c>
      <c r="C19" s="11" t="s">
        <v>656</v>
      </c>
      <c r="D19" s="15" t="s">
        <v>657</v>
      </c>
      <c r="E19" s="11" t="s">
        <v>665</v>
      </c>
      <c r="F19" s="15" t="s">
        <v>604</v>
      </c>
      <c r="G19" s="11" t="s">
        <v>658</v>
      </c>
      <c r="H19" s="15" t="s">
        <v>657</v>
      </c>
      <c r="I19" s="11" t="s">
        <v>666</v>
      </c>
      <c r="J19" s="15" t="s">
        <v>590</v>
      </c>
      <c r="K19" s="11" t="s">
        <v>667</v>
      </c>
      <c r="L19" s="15" t="s">
        <v>630</v>
      </c>
      <c r="M19" s="11" t="s">
        <v>661</v>
      </c>
      <c r="N19" s="15" t="s">
        <v>662</v>
      </c>
      <c r="O19" s="11"/>
      <c r="P19" s="15"/>
      <c r="Q19" s="11"/>
      <c r="R19" s="15"/>
      <c r="S19" s="11"/>
      <c r="T19" s="15"/>
    </row>
    <row r="20" spans="1:20" ht="15.75" customHeight="1" x14ac:dyDescent="0.2">
      <c r="A20" s="9" t="s">
        <v>201</v>
      </c>
      <c r="B20" s="9" t="s">
        <v>207</v>
      </c>
      <c r="C20" s="9" t="s">
        <v>656</v>
      </c>
      <c r="D20" s="14" t="s">
        <v>657</v>
      </c>
      <c r="E20" s="9" t="s">
        <v>665</v>
      </c>
      <c r="F20" s="14" t="s">
        <v>604</v>
      </c>
      <c r="G20" s="9" t="s">
        <v>668</v>
      </c>
      <c r="H20" s="14" t="s">
        <v>657</v>
      </c>
      <c r="I20" s="9" t="s">
        <v>392</v>
      </c>
      <c r="J20" s="14" t="s">
        <v>613</v>
      </c>
      <c r="K20" s="9" t="s">
        <v>669</v>
      </c>
      <c r="L20" s="14" t="s">
        <v>670</v>
      </c>
      <c r="M20" s="9"/>
      <c r="N20" s="14"/>
      <c r="O20" s="9"/>
      <c r="P20" s="14"/>
      <c r="Q20" s="9"/>
      <c r="R20" s="14"/>
      <c r="S20" s="9"/>
      <c r="T20" s="14"/>
    </row>
    <row r="21" spans="1:20" ht="15.75" customHeight="1" x14ac:dyDescent="0.2">
      <c r="A21" s="11" t="s">
        <v>201</v>
      </c>
      <c r="B21" s="11" t="s">
        <v>210</v>
      </c>
      <c r="C21" s="11" t="s">
        <v>656</v>
      </c>
      <c r="D21" s="15" t="s">
        <v>657</v>
      </c>
      <c r="E21" s="11" t="s">
        <v>665</v>
      </c>
      <c r="F21" s="15" t="s">
        <v>590</v>
      </c>
      <c r="G21" s="11" t="s">
        <v>658</v>
      </c>
      <c r="H21" s="15" t="s">
        <v>671</v>
      </c>
      <c r="I21" s="11" t="s">
        <v>661</v>
      </c>
      <c r="J21" s="15" t="s">
        <v>662</v>
      </c>
      <c r="K21" s="11" t="s">
        <v>327</v>
      </c>
      <c r="L21" s="15" t="s">
        <v>660</v>
      </c>
      <c r="M21" s="11"/>
      <c r="N21" s="15"/>
      <c r="O21" s="11"/>
      <c r="P21" s="15"/>
      <c r="Q21" s="11"/>
      <c r="R21" s="15"/>
      <c r="S21" s="11"/>
      <c r="T21" s="15"/>
    </row>
    <row r="22" spans="1:20" ht="15.75" customHeight="1" x14ac:dyDescent="0.2">
      <c r="A22" s="9" t="s">
        <v>201</v>
      </c>
      <c r="B22" s="9" t="s">
        <v>213</v>
      </c>
      <c r="C22" s="9" t="s">
        <v>656</v>
      </c>
      <c r="D22" s="14" t="s">
        <v>657</v>
      </c>
      <c r="E22" s="9" t="s">
        <v>665</v>
      </c>
      <c r="F22" s="14" t="s">
        <v>604</v>
      </c>
      <c r="G22" s="9" t="s">
        <v>658</v>
      </c>
      <c r="H22" s="14" t="s">
        <v>671</v>
      </c>
      <c r="I22" s="9" t="s">
        <v>393</v>
      </c>
      <c r="J22" s="14" t="s">
        <v>591</v>
      </c>
      <c r="K22" s="9" t="s">
        <v>672</v>
      </c>
      <c r="L22" s="14" t="s">
        <v>604</v>
      </c>
      <c r="M22" s="9" t="s">
        <v>673</v>
      </c>
      <c r="N22" s="14" t="s">
        <v>587</v>
      </c>
      <c r="O22" s="9"/>
      <c r="P22" s="14"/>
      <c r="Q22" s="9"/>
      <c r="R22" s="14"/>
      <c r="S22" s="9"/>
      <c r="T22" s="14"/>
    </row>
    <row r="23" spans="1:20" ht="15.75" customHeight="1" x14ac:dyDescent="0.2">
      <c r="A23" s="11" t="s">
        <v>499</v>
      </c>
      <c r="B23" s="11" t="s">
        <v>500</v>
      </c>
      <c r="C23" s="11" t="s">
        <v>674</v>
      </c>
      <c r="D23" s="15" t="s">
        <v>583</v>
      </c>
      <c r="E23" s="11" t="s">
        <v>675</v>
      </c>
      <c r="F23" s="15" t="s">
        <v>630</v>
      </c>
      <c r="G23" s="11" t="s">
        <v>384</v>
      </c>
      <c r="H23" s="15" t="s">
        <v>611</v>
      </c>
      <c r="I23" s="11" t="s">
        <v>383</v>
      </c>
      <c r="J23" s="15" t="s">
        <v>613</v>
      </c>
      <c r="K23" s="11"/>
      <c r="L23" s="15"/>
      <c r="M23" s="11"/>
      <c r="N23" s="15"/>
      <c r="O23" s="11"/>
      <c r="P23" s="15"/>
      <c r="Q23" s="11"/>
      <c r="R23" s="15"/>
      <c r="S23" s="11"/>
      <c r="T23" s="15"/>
    </row>
    <row r="24" spans="1:20" ht="15.75" customHeight="1" x14ac:dyDescent="0.2">
      <c r="A24" s="9" t="s">
        <v>217</v>
      </c>
      <c r="B24" s="9" t="s">
        <v>216</v>
      </c>
      <c r="C24" s="11" t="s">
        <v>373</v>
      </c>
      <c r="D24" s="11" t="s">
        <v>676</v>
      </c>
      <c r="E24" s="11" t="s">
        <v>677</v>
      </c>
      <c r="F24" s="11" t="s">
        <v>591</v>
      </c>
      <c r="G24" s="11" t="s">
        <v>678</v>
      </c>
      <c r="H24" s="11" t="s">
        <v>591</v>
      </c>
      <c r="I24" s="11" t="s">
        <v>679</v>
      </c>
      <c r="J24" s="11" t="s">
        <v>593</v>
      </c>
      <c r="K24" s="11" t="s">
        <v>680</v>
      </c>
      <c r="L24" s="11" t="s">
        <v>585</v>
      </c>
      <c r="M24" s="11" t="s">
        <v>681</v>
      </c>
      <c r="N24" s="11" t="s">
        <v>587</v>
      </c>
      <c r="O24" s="11"/>
      <c r="P24" s="11"/>
      <c r="Q24" s="11"/>
      <c r="R24" s="11"/>
      <c r="S24" s="11"/>
      <c r="T24" s="11"/>
    </row>
    <row r="25" spans="1:20" ht="16" x14ac:dyDescent="0.2">
      <c r="A25" t="s">
        <v>182</v>
      </c>
      <c r="B25" t="s">
        <v>220</v>
      </c>
      <c r="C25" s="11" t="s">
        <v>756</v>
      </c>
      <c r="D25" s="11" t="s">
        <v>757</v>
      </c>
      <c r="E25" s="11" t="s">
        <v>758</v>
      </c>
      <c r="F25" s="11" t="s">
        <v>583</v>
      </c>
      <c r="G25" s="11" t="s">
        <v>759</v>
      </c>
      <c r="H25" s="11" t="s">
        <v>760</v>
      </c>
      <c r="I25" s="11" t="s">
        <v>761</v>
      </c>
      <c r="J25" s="11" t="s">
        <v>594</v>
      </c>
      <c r="K25" s="11" t="s">
        <v>762</v>
      </c>
      <c r="L25" s="11" t="s">
        <v>763</v>
      </c>
      <c r="M25" s="11"/>
      <c r="N25" s="11"/>
      <c r="O25" s="11"/>
      <c r="P25" s="11"/>
      <c r="Q25" s="11"/>
      <c r="R25" s="11"/>
      <c r="S25" s="11"/>
      <c r="T25" s="11"/>
    </row>
    <row r="26" spans="1:20" x14ac:dyDescent="0.2">
      <c r="A26" t="s">
        <v>769</v>
      </c>
      <c r="B26" t="s">
        <v>770</v>
      </c>
      <c r="C26" t="s">
        <v>771</v>
      </c>
      <c r="D26" t="s">
        <v>583</v>
      </c>
      <c r="E26" t="s">
        <v>772</v>
      </c>
      <c r="F26" t="s">
        <v>591</v>
      </c>
      <c r="G26" t="s">
        <v>773</v>
      </c>
      <c r="H26" t="s">
        <v>587</v>
      </c>
      <c r="I26" t="s">
        <v>398</v>
      </c>
      <c r="J26" t="s">
        <v>587</v>
      </c>
      <c r="K26" t="s">
        <v>774</v>
      </c>
      <c r="L26" t="s">
        <v>414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998"/>
  <sheetViews>
    <sheetView zoomScaleNormal="100" workbookViewId="0">
      <selection activeCell="C23" sqref="C23"/>
    </sheetView>
  </sheetViews>
  <sheetFormatPr baseColWidth="10" defaultColWidth="14.5" defaultRowHeight="15" x14ac:dyDescent="0.2"/>
  <cols>
    <col min="1" max="1" width="80.5" customWidth="1"/>
    <col min="2" max="2" width="33.5" customWidth="1"/>
    <col min="3" max="4" width="32" customWidth="1"/>
    <col min="5" max="5" width="45" customWidth="1"/>
    <col min="6" max="6" width="25" customWidth="1"/>
    <col min="7" max="7" width="8.83203125" customWidth="1"/>
    <col min="8" max="8" width="11.6640625" customWidth="1"/>
    <col min="9" max="26" width="8.83203125" customWidth="1"/>
  </cols>
  <sheetData>
    <row r="1" spans="1:26" ht="24.75" customHeight="1" x14ac:dyDescent="0.2">
      <c r="A1" s="18" t="s">
        <v>687</v>
      </c>
      <c r="B1" s="18" t="s">
        <v>688</v>
      </c>
      <c r="C1" s="18" t="s">
        <v>689</v>
      </c>
      <c r="D1" s="18" t="s">
        <v>690</v>
      </c>
      <c r="E1" s="18" t="s">
        <v>691</v>
      </c>
      <c r="F1" s="18" t="s">
        <v>692</v>
      </c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19.5" customHeight="1" x14ac:dyDescent="0.2">
      <c r="A2" s="20" t="s">
        <v>693</v>
      </c>
      <c r="B2" s="20" t="s">
        <v>694</v>
      </c>
      <c r="C2" s="20">
        <v>1</v>
      </c>
      <c r="D2" s="21">
        <v>660000</v>
      </c>
      <c r="E2" s="20" t="s">
        <v>695</v>
      </c>
      <c r="F2" s="22">
        <f t="shared" ref="F2:F33" si="0">D2*C2</f>
        <v>660000</v>
      </c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19.5" customHeight="1" x14ac:dyDescent="0.2">
      <c r="A3" s="20" t="s">
        <v>693</v>
      </c>
      <c r="B3" s="20" t="s">
        <v>696</v>
      </c>
      <c r="C3" s="20">
        <v>1</v>
      </c>
      <c r="D3" s="21">
        <v>0</v>
      </c>
      <c r="E3" s="20" t="s">
        <v>697</v>
      </c>
      <c r="F3" s="22">
        <v>120000</v>
      </c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1:26" ht="19.5" customHeight="1" x14ac:dyDescent="0.2">
      <c r="A4" s="23" t="s">
        <v>693</v>
      </c>
      <c r="B4" s="23" t="s">
        <v>698</v>
      </c>
      <c r="C4" s="23">
        <v>1</v>
      </c>
      <c r="D4" s="24">
        <v>0</v>
      </c>
      <c r="E4" s="23" t="s">
        <v>699</v>
      </c>
      <c r="F4" s="22">
        <v>100000</v>
      </c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9.5" customHeight="1" x14ac:dyDescent="0.2">
      <c r="A5" s="20" t="s">
        <v>693</v>
      </c>
      <c r="B5" s="20" t="s">
        <v>700</v>
      </c>
      <c r="C5" s="20">
        <v>1</v>
      </c>
      <c r="D5" s="21">
        <v>120000</v>
      </c>
      <c r="E5" s="20" t="s">
        <v>701</v>
      </c>
      <c r="F5" s="22">
        <f t="shared" si="0"/>
        <v>120000</v>
      </c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ht="19.5" customHeight="1" x14ac:dyDescent="0.2">
      <c r="A6" s="23" t="s">
        <v>702</v>
      </c>
      <c r="B6" s="23" t="s">
        <v>703</v>
      </c>
      <c r="C6" s="23">
        <v>1</v>
      </c>
      <c r="D6" s="24">
        <v>0</v>
      </c>
      <c r="E6" s="23" t="s">
        <v>704</v>
      </c>
      <c r="F6" s="22">
        <v>1000000</v>
      </c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ht="19.5" customHeight="1" x14ac:dyDescent="0.2">
      <c r="A7" s="20" t="s">
        <v>702</v>
      </c>
      <c r="B7" s="20" t="s">
        <v>705</v>
      </c>
      <c r="C7" s="20">
        <v>1</v>
      </c>
      <c r="D7" s="21">
        <v>0</v>
      </c>
      <c r="E7" s="20" t="s">
        <v>706</v>
      </c>
      <c r="F7" s="22">
        <v>50000</v>
      </c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ht="19.5" customHeight="1" x14ac:dyDescent="0.2">
      <c r="A8" s="23" t="s">
        <v>702</v>
      </c>
      <c r="B8" s="23" t="s">
        <v>707</v>
      </c>
      <c r="C8" s="23">
        <v>1</v>
      </c>
      <c r="D8" s="24">
        <v>100000</v>
      </c>
      <c r="E8" s="23" t="s">
        <v>708</v>
      </c>
      <c r="F8" s="22">
        <f t="shared" si="0"/>
        <v>100000</v>
      </c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19.5" customHeight="1" x14ac:dyDescent="0.2">
      <c r="A9" s="23" t="s">
        <v>702</v>
      </c>
      <c r="B9" s="23" t="s">
        <v>707</v>
      </c>
      <c r="C9" s="23">
        <v>1</v>
      </c>
      <c r="D9" s="24">
        <v>160000</v>
      </c>
      <c r="E9" s="23" t="s">
        <v>709</v>
      </c>
      <c r="F9" s="22">
        <f t="shared" si="0"/>
        <v>160000</v>
      </c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ht="19.5" customHeight="1" x14ac:dyDescent="0.2">
      <c r="A10" s="20" t="s">
        <v>702</v>
      </c>
      <c r="B10" s="20" t="s">
        <v>710</v>
      </c>
      <c r="C10" s="20">
        <v>1</v>
      </c>
      <c r="D10" s="21">
        <v>60000</v>
      </c>
      <c r="E10" s="20" t="s">
        <v>710</v>
      </c>
      <c r="F10" s="22">
        <f t="shared" si="0"/>
        <v>60000</v>
      </c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9.5" customHeight="1" x14ac:dyDescent="0.2">
      <c r="A11" s="23" t="s">
        <v>702</v>
      </c>
      <c r="B11" s="23" t="s">
        <v>711</v>
      </c>
      <c r="C11" s="23">
        <v>1</v>
      </c>
      <c r="D11" s="24">
        <v>0</v>
      </c>
      <c r="E11" s="23" t="s">
        <v>712</v>
      </c>
      <c r="F11" s="22">
        <v>0</v>
      </c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9.5" customHeight="1" x14ac:dyDescent="0.2">
      <c r="A12" s="20" t="s">
        <v>713</v>
      </c>
      <c r="B12" s="20" t="s">
        <v>714</v>
      </c>
      <c r="C12" s="20">
        <v>2</v>
      </c>
      <c r="D12" s="21">
        <v>1500000</v>
      </c>
      <c r="E12" s="20" t="s">
        <v>715</v>
      </c>
      <c r="F12" s="22">
        <f t="shared" si="0"/>
        <v>3000000</v>
      </c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19.5" customHeight="1" x14ac:dyDescent="0.2">
      <c r="A13" s="23" t="s">
        <v>713</v>
      </c>
      <c r="B13" s="20" t="s">
        <v>716</v>
      </c>
      <c r="C13" s="20">
        <v>1</v>
      </c>
      <c r="D13" s="21">
        <v>400000</v>
      </c>
      <c r="E13" s="20" t="s">
        <v>715</v>
      </c>
      <c r="F13" s="22">
        <f t="shared" si="0"/>
        <v>400000</v>
      </c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19.5" customHeight="1" x14ac:dyDescent="0.2">
      <c r="A14" s="23" t="s">
        <v>713</v>
      </c>
      <c r="B14" s="23" t="s">
        <v>717</v>
      </c>
      <c r="C14" s="23">
        <v>1</v>
      </c>
      <c r="D14" s="24">
        <v>820000</v>
      </c>
      <c r="E14" s="23" t="s">
        <v>715</v>
      </c>
      <c r="F14" s="22">
        <f t="shared" si="0"/>
        <v>820000</v>
      </c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19.5" customHeight="1" x14ac:dyDescent="0.2">
      <c r="A15" s="23" t="s">
        <v>713</v>
      </c>
      <c r="B15" s="23" t="s">
        <v>718</v>
      </c>
      <c r="C15" s="23">
        <v>1</v>
      </c>
      <c r="D15" s="24">
        <v>480000</v>
      </c>
      <c r="E15" s="23" t="s">
        <v>715</v>
      </c>
      <c r="F15" s="22">
        <f t="shared" si="0"/>
        <v>480000</v>
      </c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19.5" customHeight="1" x14ac:dyDescent="0.2">
      <c r="A16" s="23" t="s">
        <v>713</v>
      </c>
      <c r="B16" s="23" t="s">
        <v>718</v>
      </c>
      <c r="C16" s="23">
        <v>1</v>
      </c>
      <c r="D16" s="24">
        <v>600000</v>
      </c>
      <c r="E16" s="23" t="s">
        <v>715</v>
      </c>
      <c r="F16" s="22">
        <f t="shared" si="0"/>
        <v>600000</v>
      </c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ht="19.5" customHeight="1" x14ac:dyDescent="0.2">
      <c r="A17" s="20" t="s">
        <v>713</v>
      </c>
      <c r="B17" s="20" t="s">
        <v>719</v>
      </c>
      <c r="C17" s="20">
        <v>1</v>
      </c>
      <c r="D17" s="21">
        <v>800000</v>
      </c>
      <c r="E17" s="20" t="s">
        <v>715</v>
      </c>
      <c r="F17" s="22">
        <f t="shared" si="0"/>
        <v>800000</v>
      </c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ht="19.5" customHeight="1" x14ac:dyDescent="0.2">
      <c r="A18" s="23" t="s">
        <v>713</v>
      </c>
      <c r="B18" s="23" t="s">
        <v>720</v>
      </c>
      <c r="C18" s="23">
        <v>8</v>
      </c>
      <c r="D18" s="24">
        <v>225000</v>
      </c>
      <c r="E18" s="23" t="s">
        <v>715</v>
      </c>
      <c r="F18" s="22">
        <f t="shared" si="0"/>
        <v>1800000</v>
      </c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ht="19.5" customHeight="1" x14ac:dyDescent="0.2">
      <c r="A19" s="20" t="s">
        <v>713</v>
      </c>
      <c r="B19" s="20" t="s">
        <v>721</v>
      </c>
      <c r="C19" s="20">
        <v>2</v>
      </c>
      <c r="D19" s="21">
        <f>60000*4</f>
        <v>240000</v>
      </c>
      <c r="E19" s="20" t="s">
        <v>715</v>
      </c>
      <c r="F19" s="22">
        <f t="shared" si="0"/>
        <v>480000</v>
      </c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ht="19.5" customHeight="1" x14ac:dyDescent="0.2">
      <c r="A20" s="23" t="s">
        <v>713</v>
      </c>
      <c r="B20" s="23" t="s">
        <v>722</v>
      </c>
      <c r="C20" s="23">
        <v>1</v>
      </c>
      <c r="D20" s="24">
        <v>0</v>
      </c>
      <c r="E20" s="23" t="s">
        <v>691</v>
      </c>
      <c r="F20" s="22">
        <v>800000</v>
      </c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9.5" customHeight="1" x14ac:dyDescent="0.2">
      <c r="A21" s="20" t="s">
        <v>713</v>
      </c>
      <c r="B21" s="20" t="s">
        <v>723</v>
      </c>
      <c r="C21" s="20">
        <v>1</v>
      </c>
      <c r="D21" s="21">
        <v>0</v>
      </c>
      <c r="E21" s="20" t="s">
        <v>724</v>
      </c>
      <c r="F21" s="22">
        <v>400000</v>
      </c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9.5" customHeight="1" x14ac:dyDescent="0.2">
      <c r="A22" s="20" t="s">
        <v>725</v>
      </c>
      <c r="B22" s="20" t="s">
        <v>726</v>
      </c>
      <c r="C22" s="20">
        <v>1</v>
      </c>
      <c r="D22" s="21">
        <v>0</v>
      </c>
      <c r="E22" s="20" t="s">
        <v>727</v>
      </c>
      <c r="F22" s="22">
        <v>150000</v>
      </c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19.5" customHeight="1" x14ac:dyDescent="0.2">
      <c r="A23" s="23" t="s">
        <v>725</v>
      </c>
      <c r="B23" s="23" t="s">
        <v>728</v>
      </c>
      <c r="C23" s="23">
        <v>1</v>
      </c>
      <c r="D23" s="24">
        <v>0</v>
      </c>
      <c r="E23" s="23" t="s">
        <v>729</v>
      </c>
      <c r="F23" s="22">
        <v>10000</v>
      </c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19.5" customHeight="1" x14ac:dyDescent="0.2">
      <c r="A24" s="20" t="s">
        <v>725</v>
      </c>
      <c r="B24" s="20" t="s">
        <v>730</v>
      </c>
      <c r="C24" s="20">
        <v>1</v>
      </c>
      <c r="D24" s="21">
        <v>0</v>
      </c>
      <c r="E24" s="20" t="s">
        <v>731</v>
      </c>
      <c r="F24" s="22">
        <v>120000</v>
      </c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19.5" customHeight="1" x14ac:dyDescent="0.2">
      <c r="A25" s="23" t="s">
        <v>725</v>
      </c>
      <c r="B25" s="23" t="s">
        <v>732</v>
      </c>
      <c r="C25" s="23">
        <v>1</v>
      </c>
      <c r="D25" s="24">
        <v>0</v>
      </c>
      <c r="E25" s="23" t="s">
        <v>731</v>
      </c>
      <c r="F25" s="22">
        <v>50000</v>
      </c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ht="19.5" customHeight="1" x14ac:dyDescent="0.2">
      <c r="A26" s="20" t="s">
        <v>725</v>
      </c>
      <c r="B26" s="20" t="s">
        <v>733</v>
      </c>
      <c r="C26" s="20">
        <v>1</v>
      </c>
      <c r="D26" s="21">
        <v>0</v>
      </c>
      <c r="E26" s="20" t="s">
        <v>734</v>
      </c>
      <c r="F26" s="22">
        <v>50000</v>
      </c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9.5" customHeight="1" x14ac:dyDescent="0.2">
      <c r="A27" s="23" t="s">
        <v>735</v>
      </c>
      <c r="B27" s="23" t="s">
        <v>736</v>
      </c>
      <c r="C27" s="23">
        <v>1</v>
      </c>
      <c r="D27" s="24">
        <v>80000</v>
      </c>
      <c r="E27" s="23" t="s">
        <v>737</v>
      </c>
      <c r="F27" s="22">
        <f t="shared" si="0"/>
        <v>80000</v>
      </c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9.5" customHeight="1" x14ac:dyDescent="0.2">
      <c r="A28" s="20" t="s">
        <v>735</v>
      </c>
      <c r="B28" s="20" t="s">
        <v>738</v>
      </c>
      <c r="C28" s="20">
        <v>1</v>
      </c>
      <c r="D28" s="21">
        <v>0</v>
      </c>
      <c r="E28" s="20" t="s">
        <v>737</v>
      </c>
      <c r="F28" s="22">
        <f t="shared" si="0"/>
        <v>0</v>
      </c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19.5" customHeight="1" x14ac:dyDescent="0.2">
      <c r="A29" s="23" t="s">
        <v>735</v>
      </c>
      <c r="B29" s="23" t="s">
        <v>739</v>
      </c>
      <c r="C29" s="23">
        <v>1</v>
      </c>
      <c r="D29" s="24">
        <v>0</v>
      </c>
      <c r="E29" s="23" t="s">
        <v>740</v>
      </c>
      <c r="F29" s="22">
        <f t="shared" si="0"/>
        <v>0</v>
      </c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9.5" customHeight="1" x14ac:dyDescent="0.2">
      <c r="A30" s="23" t="s">
        <v>735</v>
      </c>
      <c r="B30" s="23" t="s">
        <v>741</v>
      </c>
      <c r="C30" s="23">
        <v>1</v>
      </c>
      <c r="D30" s="24">
        <v>850000</v>
      </c>
      <c r="E30" s="23" t="s">
        <v>742</v>
      </c>
      <c r="F30" s="22">
        <f t="shared" si="0"/>
        <v>850000</v>
      </c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9.5" customHeight="1" x14ac:dyDescent="0.2">
      <c r="A31" s="20" t="s">
        <v>735</v>
      </c>
      <c r="B31" s="20" t="s">
        <v>743</v>
      </c>
      <c r="C31" s="20">
        <v>1</v>
      </c>
      <c r="D31" s="21"/>
      <c r="E31" s="20" t="s">
        <v>744</v>
      </c>
      <c r="F31" s="22">
        <f t="shared" si="0"/>
        <v>0</v>
      </c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9.5" customHeight="1" x14ac:dyDescent="0.2">
      <c r="A32" s="23" t="s">
        <v>745</v>
      </c>
      <c r="B32" s="23" t="s">
        <v>746</v>
      </c>
      <c r="C32" s="23">
        <v>1</v>
      </c>
      <c r="D32" s="24">
        <v>50000</v>
      </c>
      <c r="E32" s="23" t="s">
        <v>747</v>
      </c>
      <c r="F32" s="22">
        <f t="shared" si="0"/>
        <v>50000</v>
      </c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ht="19.5" customHeight="1" x14ac:dyDescent="0.2">
      <c r="A33" s="20" t="s">
        <v>745</v>
      </c>
      <c r="B33" s="20" t="s">
        <v>748</v>
      </c>
      <c r="C33" s="20"/>
      <c r="D33" s="21"/>
      <c r="E33" s="20" t="s">
        <v>749</v>
      </c>
      <c r="F33" s="22">
        <f t="shared" si="0"/>
        <v>0</v>
      </c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24.75" customHeight="1" x14ac:dyDescent="0.2">
      <c r="A34" s="28" t="s">
        <v>750</v>
      </c>
      <c r="B34" s="28"/>
      <c r="C34" s="28"/>
      <c r="D34" s="28"/>
      <c r="E34" s="28"/>
      <c r="F34" s="25">
        <f>SUM(F2:F33)</f>
        <v>13310000</v>
      </c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 ht="15.75" customHeight="1" x14ac:dyDescent="0.2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ht="15.75" customHeight="1" x14ac:dyDescent="0.2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 ht="15.75" customHeight="1" x14ac:dyDescent="0.2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 ht="15.75" customHeight="1" x14ac:dyDescent="0.2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 ht="15.75" customHeight="1" x14ac:dyDescent="0.2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 ht="15.75" customHeight="1" x14ac:dyDescent="0.2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 ht="15.75" customHeight="1" x14ac:dyDescent="0.2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 ht="15.75" customHeight="1" x14ac:dyDescent="0.2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 ht="15.75" customHeight="1" x14ac:dyDescent="0.2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 ht="15.75" customHeight="1" x14ac:dyDescent="0.2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 ht="15.75" customHeight="1" x14ac:dyDescent="0.2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 ht="15.75" customHeight="1" x14ac:dyDescent="0.2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 ht="15.75" customHeight="1" x14ac:dyDescent="0.2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 ht="15.75" customHeight="1" x14ac:dyDescent="0.2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spans="1:26" ht="15.75" customHeight="1" x14ac:dyDescent="0.2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 ht="15.75" customHeight="1" x14ac:dyDescent="0.2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 ht="15.75" customHeight="1" x14ac:dyDescent="0.2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 ht="15.75" customHeight="1" x14ac:dyDescent="0.2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 ht="15.75" customHeight="1" x14ac:dyDescent="0.2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 ht="15.75" customHeight="1" x14ac:dyDescent="0.2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 ht="15.75" customHeight="1" x14ac:dyDescent="0.2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 ht="15.75" customHeight="1" x14ac:dyDescent="0.2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 ht="15.75" customHeight="1" x14ac:dyDescent="0.2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 ht="15.75" customHeight="1" x14ac:dyDescent="0.2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ht="15.75" customHeight="1" x14ac:dyDescent="0.2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 ht="15.75" customHeight="1" x14ac:dyDescent="0.2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 ht="15.75" customHeight="1" x14ac:dyDescent="0.2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 ht="15.75" customHeight="1" x14ac:dyDescent="0.2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ht="15.75" customHeight="1" x14ac:dyDescent="0.2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 ht="15.75" customHeight="1" x14ac:dyDescent="0.2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 ht="15.75" customHeight="1" x14ac:dyDescent="0.2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 ht="15.75" customHeight="1" x14ac:dyDescent="0.2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ht="15.75" customHeight="1" x14ac:dyDescent="0.2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ht="15.75" customHeight="1" x14ac:dyDescent="0.2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ht="15.75" customHeight="1" x14ac:dyDescent="0.2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15.75" customHeight="1" x14ac:dyDescent="0.2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15.75" customHeight="1" x14ac:dyDescent="0.2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ht="15.75" customHeight="1" x14ac:dyDescent="0.2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ht="15.75" customHeight="1" x14ac:dyDescent="0.2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ht="15.75" customHeight="1" x14ac:dyDescent="0.2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 ht="15.75" customHeight="1" x14ac:dyDescent="0.2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 ht="15.75" customHeight="1" x14ac:dyDescent="0.2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 ht="15.75" customHeight="1" x14ac:dyDescent="0.2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 ht="15.75" customHeight="1" x14ac:dyDescent="0.2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 ht="15.75" customHeight="1" x14ac:dyDescent="0.2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 ht="15.75" customHeight="1" x14ac:dyDescent="0.2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 ht="15.75" customHeight="1" x14ac:dyDescent="0.2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 ht="15.75" customHeight="1" x14ac:dyDescent="0.2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 ht="15.75" customHeight="1" x14ac:dyDescent="0.2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 ht="15.75" customHeight="1" x14ac:dyDescent="0.2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ht="15.75" customHeight="1" x14ac:dyDescent="0.2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 ht="15.75" customHeight="1" x14ac:dyDescent="0.2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ht="15.75" customHeight="1" x14ac:dyDescent="0.2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ht="15.75" customHeight="1" x14ac:dyDescent="0.2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 ht="15.75" customHeight="1" x14ac:dyDescent="0.2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 ht="15.75" customHeight="1" x14ac:dyDescent="0.2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 ht="15.75" customHeight="1" x14ac:dyDescent="0.2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 ht="15.75" customHeight="1" x14ac:dyDescent="0.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 ht="15.75" customHeight="1" x14ac:dyDescent="0.2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 ht="15.75" customHeight="1" x14ac:dyDescent="0.2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 ht="15.75" customHeight="1" x14ac:dyDescent="0.2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 ht="15.75" customHeight="1" x14ac:dyDescent="0.2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 ht="15.75" customHeight="1" x14ac:dyDescent="0.2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 ht="15.75" customHeight="1" x14ac:dyDescent="0.2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 ht="15.75" customHeight="1" x14ac:dyDescent="0.2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 ht="15.75" customHeight="1" x14ac:dyDescent="0.2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 ht="15.75" customHeight="1" x14ac:dyDescent="0.2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 ht="15.75" customHeight="1" x14ac:dyDescent="0.2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ht="15.75" customHeight="1" x14ac:dyDescent="0.2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ht="15.75" customHeight="1" x14ac:dyDescent="0.2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ht="15.75" customHeight="1" x14ac:dyDescent="0.2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ht="15.75" customHeight="1" x14ac:dyDescent="0.2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ht="15.75" customHeight="1" x14ac:dyDescent="0.2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 ht="15.75" customHeight="1" x14ac:dyDescent="0.2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ht="15.75" customHeight="1" x14ac:dyDescent="0.2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ht="15.75" customHeight="1" x14ac:dyDescent="0.2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ht="15.75" customHeight="1" x14ac:dyDescent="0.2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ht="15.75" customHeight="1" x14ac:dyDescent="0.2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 ht="15.75" customHeight="1" x14ac:dyDescent="0.2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ht="15.75" customHeight="1" x14ac:dyDescent="0.2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ht="15.75" customHeight="1" x14ac:dyDescent="0.2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ht="15.75" customHeight="1" x14ac:dyDescent="0.2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ht="15.75" customHeight="1" x14ac:dyDescent="0.2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ht="15.75" customHeight="1" x14ac:dyDescent="0.2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ht="15.75" customHeight="1" x14ac:dyDescent="0.2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ht="15.75" customHeight="1" x14ac:dyDescent="0.2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ht="15.75" customHeight="1" x14ac:dyDescent="0.2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ht="15.75" customHeight="1" x14ac:dyDescent="0.2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ht="15.75" customHeight="1" x14ac:dyDescent="0.2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ht="15.75" customHeight="1" x14ac:dyDescent="0.2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 ht="15.75" customHeight="1" x14ac:dyDescent="0.2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 ht="15.75" customHeight="1" x14ac:dyDescent="0.2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 ht="15.75" customHeight="1" x14ac:dyDescent="0.2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ht="15.75" customHeight="1" x14ac:dyDescent="0.2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 ht="15.75" customHeight="1" x14ac:dyDescent="0.2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 ht="15.75" customHeight="1" x14ac:dyDescent="0.2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 ht="15.75" customHeight="1" x14ac:dyDescent="0.2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 ht="15.75" customHeight="1" x14ac:dyDescent="0.2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 ht="15.75" customHeight="1" x14ac:dyDescent="0.2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 ht="15.75" customHeight="1" x14ac:dyDescent="0.2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 ht="15.75" customHeight="1" x14ac:dyDescent="0.2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 ht="15.75" customHeight="1" x14ac:dyDescent="0.2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 ht="15.75" customHeight="1" x14ac:dyDescent="0.2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 ht="15.75" customHeight="1" x14ac:dyDescent="0.2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 ht="15.75" customHeight="1" x14ac:dyDescent="0.2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 ht="15.75" customHeight="1" x14ac:dyDescent="0.2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 ht="15.75" customHeight="1" x14ac:dyDescent="0.2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 ht="15.75" customHeight="1" x14ac:dyDescent="0.2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 ht="15.75" customHeight="1" x14ac:dyDescent="0.2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 ht="15.75" customHeight="1" x14ac:dyDescent="0.2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 ht="15.75" customHeight="1" x14ac:dyDescent="0.2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 ht="15.75" customHeight="1" x14ac:dyDescent="0.2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 ht="15.75" customHeight="1" x14ac:dyDescent="0.2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 ht="15.75" customHeight="1" x14ac:dyDescent="0.2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ht="15.75" customHeight="1" x14ac:dyDescent="0.2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 ht="15.75" customHeight="1" x14ac:dyDescent="0.2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 ht="15.75" customHeight="1" x14ac:dyDescent="0.2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 ht="15.75" customHeight="1" x14ac:dyDescent="0.2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 ht="15.75" customHeight="1" x14ac:dyDescent="0.2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 ht="15.75" customHeight="1" x14ac:dyDescent="0.2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 ht="15.75" customHeight="1" x14ac:dyDescent="0.2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 ht="15.75" customHeight="1" x14ac:dyDescent="0.2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 ht="15.75" customHeight="1" x14ac:dyDescent="0.2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 ht="15.75" customHeight="1" x14ac:dyDescent="0.2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 ht="15.75" customHeight="1" x14ac:dyDescent="0.2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 ht="15.75" customHeight="1" x14ac:dyDescent="0.2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 ht="15.75" customHeight="1" x14ac:dyDescent="0.2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 ht="15.75" customHeight="1" x14ac:dyDescent="0.2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 ht="15.75" customHeight="1" x14ac:dyDescent="0.2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 ht="15.75" customHeight="1" x14ac:dyDescent="0.2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 ht="15.75" customHeight="1" x14ac:dyDescent="0.2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 ht="15.75" customHeight="1" x14ac:dyDescent="0.2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 ht="15.75" customHeight="1" x14ac:dyDescent="0.2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1:26" ht="15.75" customHeight="1" x14ac:dyDescent="0.2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 ht="15.75" customHeight="1" x14ac:dyDescent="0.2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 ht="15.75" customHeight="1" x14ac:dyDescent="0.2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 ht="15.75" customHeight="1" x14ac:dyDescent="0.2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 ht="15.75" customHeight="1" x14ac:dyDescent="0.2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 ht="15.75" customHeight="1" x14ac:dyDescent="0.2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 ht="15.75" customHeight="1" x14ac:dyDescent="0.2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 ht="15.75" customHeight="1" x14ac:dyDescent="0.2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 ht="15.75" customHeight="1" x14ac:dyDescent="0.2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 ht="15.75" customHeight="1" x14ac:dyDescent="0.2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 ht="15.75" customHeight="1" x14ac:dyDescent="0.2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 ht="15.75" customHeight="1" x14ac:dyDescent="0.2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 ht="15.75" customHeight="1" x14ac:dyDescent="0.2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1:26" ht="15.75" customHeight="1" x14ac:dyDescent="0.2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 ht="15.75" customHeight="1" x14ac:dyDescent="0.2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 ht="15.75" customHeight="1" x14ac:dyDescent="0.2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 ht="15.75" customHeight="1" x14ac:dyDescent="0.2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 ht="15.75" customHeight="1" x14ac:dyDescent="0.2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 ht="15.75" customHeight="1" x14ac:dyDescent="0.2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 ht="15.75" customHeight="1" x14ac:dyDescent="0.2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 ht="15.75" customHeight="1" x14ac:dyDescent="0.2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 ht="15.75" customHeight="1" x14ac:dyDescent="0.2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 ht="15.75" customHeight="1" x14ac:dyDescent="0.2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 ht="15.75" customHeight="1" x14ac:dyDescent="0.2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 ht="15.75" customHeight="1" x14ac:dyDescent="0.2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 ht="15.75" customHeight="1" x14ac:dyDescent="0.2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 ht="15.75" customHeight="1" x14ac:dyDescent="0.2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 ht="15.75" customHeight="1" x14ac:dyDescent="0.2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 ht="15.75" customHeight="1" x14ac:dyDescent="0.2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 ht="15.75" customHeight="1" x14ac:dyDescent="0.2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 ht="15.75" customHeight="1" x14ac:dyDescent="0.2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1:26" ht="15.75" customHeight="1" x14ac:dyDescent="0.2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 ht="15.75" customHeight="1" x14ac:dyDescent="0.2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 ht="15.75" customHeight="1" x14ac:dyDescent="0.2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 ht="15.75" customHeight="1" x14ac:dyDescent="0.2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 ht="15.75" customHeight="1" x14ac:dyDescent="0.2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 ht="15.75" customHeight="1" x14ac:dyDescent="0.2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 ht="15.75" customHeight="1" x14ac:dyDescent="0.2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 ht="15.75" customHeight="1" x14ac:dyDescent="0.2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 ht="15.75" customHeight="1" x14ac:dyDescent="0.2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spans="1:26" ht="15.75" customHeight="1" x14ac:dyDescent="0.2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spans="1:26" ht="15.75" customHeight="1" x14ac:dyDescent="0.2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spans="1:26" ht="15.75" customHeight="1" x14ac:dyDescent="0.2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1:26" ht="15.75" customHeight="1" x14ac:dyDescent="0.2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1:26" ht="15.75" customHeight="1" x14ac:dyDescent="0.2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spans="1:26" ht="15.75" customHeight="1" x14ac:dyDescent="0.2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spans="1:26" ht="15.75" customHeight="1" x14ac:dyDescent="0.2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1:26" ht="15.75" customHeight="1" x14ac:dyDescent="0.2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1:26" ht="15.75" customHeight="1" x14ac:dyDescent="0.2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spans="1:26" ht="15.75" customHeight="1" x14ac:dyDescent="0.2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1:26" ht="15.75" customHeight="1" x14ac:dyDescent="0.2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ht="15.75" customHeight="1" x14ac:dyDescent="0.2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ht="15.75" customHeight="1" x14ac:dyDescent="0.2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ht="15.75" customHeight="1" x14ac:dyDescent="0.2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ht="15.75" customHeight="1" x14ac:dyDescent="0.2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ht="15.75" customHeight="1" x14ac:dyDescent="0.2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 ht="15.75" customHeight="1" x14ac:dyDescent="0.2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 ht="15.75" customHeight="1" x14ac:dyDescent="0.2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 ht="15.75" customHeight="1" x14ac:dyDescent="0.2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 ht="15.75" customHeight="1" x14ac:dyDescent="0.2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 ht="15.75" customHeight="1" x14ac:dyDescent="0.2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 ht="15.75" customHeight="1" x14ac:dyDescent="0.2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 ht="15.75" customHeight="1" x14ac:dyDescent="0.2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 ht="15.75" customHeight="1" x14ac:dyDescent="0.2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 ht="15.75" customHeight="1" x14ac:dyDescent="0.2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1:26" ht="15.75" customHeight="1" x14ac:dyDescent="0.2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1:26" ht="15.75" customHeight="1" x14ac:dyDescent="0.2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1:26" ht="15.75" customHeight="1" x14ac:dyDescent="0.2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1:26" ht="15.75" customHeight="1" x14ac:dyDescent="0.2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1:26" ht="15.75" customHeight="1" x14ac:dyDescent="0.2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1:26" ht="15.75" customHeight="1" x14ac:dyDescent="0.2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1:26" ht="15.75" customHeight="1" x14ac:dyDescent="0.2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 ht="15.75" customHeight="1" x14ac:dyDescent="0.2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1:26" ht="15.75" customHeight="1" x14ac:dyDescent="0.2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 ht="15.75" customHeight="1" x14ac:dyDescent="0.2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spans="1:26" ht="15.75" customHeight="1" x14ac:dyDescent="0.2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spans="1:26" ht="15.75" customHeight="1" x14ac:dyDescent="0.2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spans="1:26" ht="15.75" customHeight="1" x14ac:dyDescent="0.2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spans="1:26" ht="15.75" customHeight="1" x14ac:dyDescent="0.2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spans="1:26" ht="15.75" customHeight="1" x14ac:dyDescent="0.2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spans="1:26" ht="15.75" customHeight="1" x14ac:dyDescent="0.2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spans="1:26" ht="15.75" customHeight="1" x14ac:dyDescent="0.2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spans="1:26" ht="15.75" customHeight="1" x14ac:dyDescent="0.2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spans="1:26" ht="15.75" customHeight="1" x14ac:dyDescent="0.2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spans="1:26" ht="15.75" customHeight="1" x14ac:dyDescent="0.2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spans="1:26" ht="15.75" customHeight="1" x14ac:dyDescent="0.2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spans="1:26" ht="15.75" customHeight="1" x14ac:dyDescent="0.2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spans="1:26" ht="15.75" customHeight="1" x14ac:dyDescent="0.2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spans="1:26" ht="15.75" customHeight="1" x14ac:dyDescent="0.2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spans="1:26" ht="15.75" customHeight="1" x14ac:dyDescent="0.2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spans="1:26" ht="15.75" customHeight="1" x14ac:dyDescent="0.2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spans="1:26" ht="15.75" customHeight="1" x14ac:dyDescent="0.2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spans="1:26" ht="15.75" customHeight="1" x14ac:dyDescent="0.2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spans="1:26" ht="15.75" customHeight="1" x14ac:dyDescent="0.2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spans="1:26" ht="15.75" customHeight="1" x14ac:dyDescent="0.2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spans="1:26" ht="15.75" customHeight="1" x14ac:dyDescent="0.2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spans="1:26" ht="15.75" customHeight="1" x14ac:dyDescent="0.2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spans="1:26" ht="15.75" customHeight="1" x14ac:dyDescent="0.2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spans="1:26" ht="15.75" customHeight="1" x14ac:dyDescent="0.2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spans="1:26" ht="15.75" customHeight="1" x14ac:dyDescent="0.2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spans="1:26" ht="15.75" customHeight="1" x14ac:dyDescent="0.2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spans="1:26" ht="15.75" customHeight="1" x14ac:dyDescent="0.2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spans="1:26" ht="15.75" customHeight="1" x14ac:dyDescent="0.2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spans="1:26" ht="15.75" customHeight="1" x14ac:dyDescent="0.2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spans="1:26" ht="15.75" customHeight="1" x14ac:dyDescent="0.2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spans="1:26" ht="15.75" customHeight="1" x14ac:dyDescent="0.2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spans="1:26" ht="15.75" customHeight="1" x14ac:dyDescent="0.2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spans="1:26" ht="15.75" customHeight="1" x14ac:dyDescent="0.2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spans="1:26" ht="15.75" customHeight="1" x14ac:dyDescent="0.2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spans="1:26" ht="15.75" customHeight="1" x14ac:dyDescent="0.2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spans="1:26" ht="15.75" customHeight="1" x14ac:dyDescent="0.2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spans="1:26" ht="15.75" customHeight="1" x14ac:dyDescent="0.2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spans="1:26" ht="15.75" customHeight="1" x14ac:dyDescent="0.2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spans="1:26" ht="15.75" customHeight="1" x14ac:dyDescent="0.2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spans="1:26" ht="15.75" customHeight="1" x14ac:dyDescent="0.2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spans="1:26" ht="15.75" customHeight="1" x14ac:dyDescent="0.2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spans="1:26" ht="15.75" customHeight="1" x14ac:dyDescent="0.2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spans="1:26" ht="15.75" customHeight="1" x14ac:dyDescent="0.2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spans="1:26" ht="15.75" customHeight="1" x14ac:dyDescent="0.2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spans="1:26" ht="15.75" customHeight="1" x14ac:dyDescent="0.2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spans="1:26" ht="15.75" customHeight="1" x14ac:dyDescent="0.2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spans="1:26" ht="15.75" customHeight="1" x14ac:dyDescent="0.2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spans="1:26" ht="15.75" customHeight="1" x14ac:dyDescent="0.2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spans="1:26" ht="15.75" customHeight="1" x14ac:dyDescent="0.2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spans="1:26" ht="15.75" customHeight="1" x14ac:dyDescent="0.2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spans="1:26" ht="15.75" customHeight="1" x14ac:dyDescent="0.2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spans="1:26" ht="15.75" customHeight="1" x14ac:dyDescent="0.2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spans="1:26" ht="15.75" customHeight="1" x14ac:dyDescent="0.2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spans="1:26" ht="15.75" customHeight="1" x14ac:dyDescent="0.2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spans="1:26" ht="15.75" customHeight="1" x14ac:dyDescent="0.2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spans="1:26" ht="15.75" customHeight="1" x14ac:dyDescent="0.2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spans="1:26" ht="15.75" customHeight="1" x14ac:dyDescent="0.2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spans="1:26" ht="15.75" customHeight="1" x14ac:dyDescent="0.2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spans="1:26" ht="15.75" customHeight="1" x14ac:dyDescent="0.2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spans="1:26" ht="15.75" customHeight="1" x14ac:dyDescent="0.2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spans="1:26" ht="15.75" customHeight="1" x14ac:dyDescent="0.2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spans="1:26" ht="15.75" customHeight="1" x14ac:dyDescent="0.2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spans="1:26" ht="15.75" customHeight="1" x14ac:dyDescent="0.2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spans="1:26" ht="15.75" customHeight="1" x14ac:dyDescent="0.2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spans="1:26" ht="15.75" customHeight="1" x14ac:dyDescent="0.2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spans="1:26" ht="15.75" customHeight="1" x14ac:dyDescent="0.2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spans="1:26" ht="15.75" customHeight="1" x14ac:dyDescent="0.2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spans="1:26" ht="15.75" customHeight="1" x14ac:dyDescent="0.2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spans="1:26" ht="15.75" customHeight="1" x14ac:dyDescent="0.2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spans="1:26" ht="15.75" customHeight="1" x14ac:dyDescent="0.2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spans="1:26" ht="15.75" customHeight="1" x14ac:dyDescent="0.2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spans="1:26" ht="15.75" customHeight="1" x14ac:dyDescent="0.2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spans="1:26" ht="15.75" customHeight="1" x14ac:dyDescent="0.2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spans="1:26" ht="15.75" customHeight="1" x14ac:dyDescent="0.2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spans="1:26" ht="15.75" customHeight="1" x14ac:dyDescent="0.2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spans="1:26" ht="15.75" customHeight="1" x14ac:dyDescent="0.2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spans="1:26" ht="15.75" customHeight="1" x14ac:dyDescent="0.2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spans="1:26" ht="15.75" customHeight="1" x14ac:dyDescent="0.2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spans="1:26" ht="15.75" customHeight="1" x14ac:dyDescent="0.2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spans="1:26" ht="15.75" customHeight="1" x14ac:dyDescent="0.2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spans="1:26" ht="15.75" customHeight="1" x14ac:dyDescent="0.2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spans="1:26" ht="15.75" customHeight="1" x14ac:dyDescent="0.2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spans="1:26" ht="15.75" customHeight="1" x14ac:dyDescent="0.2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spans="1:26" ht="15.75" customHeight="1" x14ac:dyDescent="0.2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spans="1:26" ht="15.75" customHeight="1" x14ac:dyDescent="0.2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spans="1:26" ht="15.75" customHeight="1" x14ac:dyDescent="0.2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spans="1:26" ht="15.75" customHeight="1" x14ac:dyDescent="0.2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spans="1:26" ht="15.75" customHeight="1" x14ac:dyDescent="0.2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spans="1:26" ht="15.75" customHeight="1" x14ac:dyDescent="0.2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spans="1:26" ht="15.75" customHeight="1" x14ac:dyDescent="0.2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spans="1:26" ht="15.75" customHeight="1" x14ac:dyDescent="0.2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spans="1:26" ht="15.75" customHeight="1" x14ac:dyDescent="0.2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spans="1:26" ht="15.75" customHeight="1" x14ac:dyDescent="0.2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spans="1:26" ht="15.75" customHeight="1" x14ac:dyDescent="0.2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spans="1:26" ht="15.75" customHeight="1" x14ac:dyDescent="0.2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spans="1:26" ht="15.75" customHeight="1" x14ac:dyDescent="0.2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spans="1:26" ht="15.75" customHeight="1" x14ac:dyDescent="0.2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spans="1:26" ht="15.75" customHeight="1" x14ac:dyDescent="0.2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spans="1:26" ht="15.75" customHeight="1" x14ac:dyDescent="0.2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spans="1:26" ht="15.75" customHeight="1" x14ac:dyDescent="0.2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spans="1:26" ht="15.75" customHeight="1" x14ac:dyDescent="0.2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spans="1:26" ht="15.75" customHeight="1" x14ac:dyDescent="0.2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spans="1:26" ht="15.75" customHeight="1" x14ac:dyDescent="0.2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spans="1:26" ht="15.75" customHeight="1" x14ac:dyDescent="0.2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spans="1:26" ht="15.75" customHeight="1" x14ac:dyDescent="0.2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spans="1:26" ht="15.75" customHeight="1" x14ac:dyDescent="0.2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spans="1:26" ht="15.75" customHeight="1" x14ac:dyDescent="0.2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spans="1:26" ht="15.75" customHeight="1" x14ac:dyDescent="0.2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spans="1:26" ht="15.75" customHeight="1" x14ac:dyDescent="0.2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spans="1:26" ht="15.75" customHeight="1" x14ac:dyDescent="0.2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spans="1:26" ht="15.75" customHeight="1" x14ac:dyDescent="0.2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spans="1:26" ht="15.75" customHeight="1" x14ac:dyDescent="0.2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spans="1:26" ht="15.75" customHeight="1" x14ac:dyDescent="0.2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spans="1:26" ht="15.75" customHeight="1" x14ac:dyDescent="0.2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spans="1:26" ht="15.75" customHeight="1" x14ac:dyDescent="0.2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spans="1:26" ht="15.75" customHeight="1" x14ac:dyDescent="0.2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spans="1:26" ht="15.75" customHeight="1" x14ac:dyDescent="0.2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spans="1:26" ht="15.75" customHeight="1" x14ac:dyDescent="0.2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spans="1:26" ht="15.75" customHeight="1" x14ac:dyDescent="0.2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spans="1:26" ht="15.75" customHeight="1" x14ac:dyDescent="0.2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spans="1:26" ht="15.75" customHeight="1" x14ac:dyDescent="0.2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spans="1:26" ht="15.75" customHeight="1" x14ac:dyDescent="0.2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spans="1:26" ht="15.75" customHeight="1" x14ac:dyDescent="0.2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spans="1:26" ht="15.75" customHeight="1" x14ac:dyDescent="0.2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spans="1:26" ht="15.75" customHeight="1" x14ac:dyDescent="0.2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spans="1:26" ht="15.75" customHeight="1" x14ac:dyDescent="0.2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spans="1:26" ht="15.75" customHeight="1" x14ac:dyDescent="0.2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spans="1:26" ht="15.75" customHeight="1" x14ac:dyDescent="0.2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spans="1:26" ht="15.75" customHeight="1" x14ac:dyDescent="0.2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spans="1:26" ht="15.75" customHeight="1" x14ac:dyDescent="0.2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spans="1:26" ht="15.75" customHeight="1" x14ac:dyDescent="0.2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spans="1:26" ht="15.75" customHeight="1" x14ac:dyDescent="0.2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spans="1:26" ht="15.75" customHeight="1" x14ac:dyDescent="0.2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spans="1:26" ht="15.75" customHeight="1" x14ac:dyDescent="0.2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spans="1:26" ht="15.75" customHeight="1" x14ac:dyDescent="0.2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spans="1:26" ht="15.75" customHeight="1" x14ac:dyDescent="0.2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spans="1:26" ht="15.75" customHeight="1" x14ac:dyDescent="0.2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spans="1:26" ht="15.75" customHeight="1" x14ac:dyDescent="0.2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spans="1:26" ht="15.75" customHeight="1" x14ac:dyDescent="0.2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spans="1:26" ht="15.75" customHeight="1" x14ac:dyDescent="0.2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spans="1:26" ht="15.75" customHeight="1" x14ac:dyDescent="0.2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spans="1:26" ht="15.75" customHeight="1" x14ac:dyDescent="0.2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spans="1:26" ht="15.75" customHeight="1" x14ac:dyDescent="0.2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spans="1:26" ht="15.75" customHeight="1" x14ac:dyDescent="0.2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spans="1:26" ht="15.75" customHeight="1" x14ac:dyDescent="0.2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spans="1:26" ht="15.75" customHeight="1" x14ac:dyDescent="0.2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spans="1:26" ht="15.75" customHeight="1" x14ac:dyDescent="0.2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spans="1:26" ht="15.75" customHeight="1" x14ac:dyDescent="0.2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spans="1:26" ht="15.75" customHeight="1" x14ac:dyDescent="0.2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spans="1:26" ht="15.75" customHeight="1" x14ac:dyDescent="0.2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spans="1:26" ht="15.75" customHeight="1" x14ac:dyDescent="0.2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spans="1:26" ht="15.75" customHeight="1" x14ac:dyDescent="0.2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spans="1:26" ht="15.75" customHeight="1" x14ac:dyDescent="0.2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spans="1:26" ht="15.75" customHeight="1" x14ac:dyDescent="0.2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spans="1:26" ht="15.75" customHeight="1" x14ac:dyDescent="0.2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spans="1:26" ht="15.75" customHeight="1" x14ac:dyDescent="0.2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spans="1:26" ht="15.75" customHeight="1" x14ac:dyDescent="0.2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spans="1:26" ht="15.75" customHeight="1" x14ac:dyDescent="0.2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spans="1:26" ht="15.75" customHeight="1" x14ac:dyDescent="0.2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spans="1:26" ht="15.75" customHeight="1" x14ac:dyDescent="0.2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spans="1:26" ht="15.75" customHeight="1" x14ac:dyDescent="0.2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spans="1:26" ht="15.75" customHeight="1" x14ac:dyDescent="0.2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spans="1:26" ht="15.75" customHeight="1" x14ac:dyDescent="0.2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spans="1:26" ht="15.75" customHeight="1" x14ac:dyDescent="0.2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spans="1:26" ht="15.75" customHeight="1" x14ac:dyDescent="0.2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spans="1:26" ht="15.75" customHeight="1" x14ac:dyDescent="0.2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spans="1:26" ht="15.75" customHeight="1" x14ac:dyDescent="0.2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spans="1:26" ht="15.75" customHeight="1" x14ac:dyDescent="0.2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spans="1:26" ht="15.75" customHeight="1" x14ac:dyDescent="0.2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spans="1:26" ht="15.75" customHeight="1" x14ac:dyDescent="0.2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spans="1:26" ht="15.75" customHeight="1" x14ac:dyDescent="0.2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spans="1:26" ht="15.75" customHeight="1" x14ac:dyDescent="0.2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spans="1:26" ht="15.75" customHeight="1" x14ac:dyDescent="0.2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spans="1:26" ht="15.75" customHeight="1" x14ac:dyDescent="0.2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spans="1:26" ht="15.75" customHeight="1" x14ac:dyDescent="0.2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spans="1:26" ht="15.75" customHeight="1" x14ac:dyDescent="0.2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spans="1:26" ht="15.75" customHeight="1" x14ac:dyDescent="0.2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spans="1:26" ht="15.75" customHeight="1" x14ac:dyDescent="0.2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spans="1:26" ht="15.75" customHeight="1" x14ac:dyDescent="0.2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spans="1:26" ht="15.75" customHeight="1" x14ac:dyDescent="0.2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spans="1:26" ht="15.75" customHeight="1" x14ac:dyDescent="0.2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spans="1:26" ht="15.75" customHeight="1" x14ac:dyDescent="0.2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spans="1:26" ht="15.75" customHeight="1" x14ac:dyDescent="0.2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spans="1:26" ht="15.75" customHeight="1" x14ac:dyDescent="0.2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spans="1:26" ht="15.75" customHeight="1" x14ac:dyDescent="0.2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spans="1:26" ht="15.75" customHeight="1" x14ac:dyDescent="0.2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spans="1:26" ht="15.75" customHeight="1" x14ac:dyDescent="0.2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spans="1:26" ht="15.75" customHeight="1" x14ac:dyDescent="0.2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spans="1:26" ht="15.75" customHeight="1" x14ac:dyDescent="0.2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spans="1:26" ht="15.75" customHeight="1" x14ac:dyDescent="0.2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spans="1:26" ht="15.75" customHeight="1" x14ac:dyDescent="0.2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spans="1:26" ht="15.75" customHeight="1" x14ac:dyDescent="0.2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spans="1:26" ht="15.75" customHeight="1" x14ac:dyDescent="0.2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spans="1:26" ht="15.75" customHeight="1" x14ac:dyDescent="0.2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spans="1:26" ht="15.75" customHeight="1" x14ac:dyDescent="0.2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spans="1:26" ht="15.75" customHeight="1" x14ac:dyDescent="0.2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spans="1:26" ht="15.75" customHeight="1" x14ac:dyDescent="0.2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spans="1:26" ht="15.75" customHeight="1" x14ac:dyDescent="0.2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spans="1:26" ht="15.75" customHeight="1" x14ac:dyDescent="0.2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spans="1:26" ht="15.75" customHeight="1" x14ac:dyDescent="0.2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spans="1:26" ht="15.75" customHeight="1" x14ac:dyDescent="0.2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spans="1:26" ht="15.75" customHeight="1" x14ac:dyDescent="0.2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spans="1:26" ht="15.75" customHeight="1" x14ac:dyDescent="0.2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spans="1:26" ht="15.75" customHeight="1" x14ac:dyDescent="0.2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spans="1:26" ht="15.75" customHeight="1" x14ac:dyDescent="0.2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spans="1:26" ht="15.75" customHeight="1" x14ac:dyDescent="0.2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spans="1:26" ht="15.75" customHeight="1" x14ac:dyDescent="0.2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spans="1:26" ht="15.75" customHeight="1" x14ac:dyDescent="0.2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spans="1:26" ht="15.75" customHeight="1" x14ac:dyDescent="0.2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spans="1:26" ht="15.75" customHeight="1" x14ac:dyDescent="0.2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spans="1:26" ht="15.75" customHeight="1" x14ac:dyDescent="0.2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spans="1:26" ht="15.75" customHeight="1" x14ac:dyDescent="0.2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spans="1:26" ht="15.75" customHeight="1" x14ac:dyDescent="0.2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spans="1:26" ht="15.75" customHeight="1" x14ac:dyDescent="0.2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spans="1:26" ht="15.75" customHeight="1" x14ac:dyDescent="0.2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spans="1:26" ht="15.75" customHeight="1" x14ac:dyDescent="0.2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spans="1:26" ht="15.75" customHeight="1" x14ac:dyDescent="0.2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spans="1:26" ht="15.75" customHeight="1" x14ac:dyDescent="0.2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spans="1:26" ht="15.75" customHeight="1" x14ac:dyDescent="0.2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spans="1:26" ht="15.75" customHeight="1" x14ac:dyDescent="0.2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spans="1:26" ht="15.75" customHeight="1" x14ac:dyDescent="0.2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spans="1:26" ht="15.75" customHeight="1" x14ac:dyDescent="0.2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spans="1:26" ht="15.75" customHeight="1" x14ac:dyDescent="0.2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spans="1:26" ht="15.75" customHeight="1" x14ac:dyDescent="0.2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spans="1:26" ht="15.75" customHeight="1" x14ac:dyDescent="0.2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spans="1:26" ht="15.75" customHeight="1" x14ac:dyDescent="0.2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spans="1:26" ht="15.75" customHeight="1" x14ac:dyDescent="0.2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spans="1:26" ht="15.75" customHeight="1" x14ac:dyDescent="0.2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spans="1:26" ht="15.75" customHeight="1" x14ac:dyDescent="0.2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spans="1:26" ht="15.75" customHeight="1" x14ac:dyDescent="0.2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spans="1:26" ht="15.75" customHeight="1" x14ac:dyDescent="0.2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spans="1:26" ht="15.75" customHeight="1" x14ac:dyDescent="0.2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spans="1:26" ht="15.75" customHeight="1" x14ac:dyDescent="0.2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spans="1:26" ht="15.75" customHeight="1" x14ac:dyDescent="0.2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spans="1:26" ht="15.75" customHeight="1" x14ac:dyDescent="0.2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spans="1:26" ht="15.75" customHeight="1" x14ac:dyDescent="0.2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spans="1:26" ht="15.75" customHeight="1" x14ac:dyDescent="0.2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spans="1:26" ht="15.75" customHeight="1" x14ac:dyDescent="0.2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spans="1:26" ht="15.75" customHeight="1" x14ac:dyDescent="0.2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spans="1:26" ht="15.75" customHeight="1" x14ac:dyDescent="0.2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spans="1:26" ht="15.75" customHeight="1" x14ac:dyDescent="0.2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spans="1:26" ht="15.75" customHeight="1" x14ac:dyDescent="0.2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spans="1:26" ht="15.75" customHeight="1" x14ac:dyDescent="0.2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spans="1:26" ht="15.75" customHeight="1" x14ac:dyDescent="0.2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spans="1:26" ht="15.75" customHeight="1" x14ac:dyDescent="0.2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spans="1:26" ht="15.75" customHeight="1" x14ac:dyDescent="0.2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spans="1:26" ht="15.75" customHeight="1" x14ac:dyDescent="0.2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spans="1:26" ht="15.75" customHeight="1" x14ac:dyDescent="0.2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spans="1:26" ht="15.75" customHeight="1" x14ac:dyDescent="0.2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spans="1:26" ht="15.75" customHeight="1" x14ac:dyDescent="0.2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spans="1:26" ht="15.75" customHeight="1" x14ac:dyDescent="0.2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spans="1:26" ht="15.75" customHeight="1" x14ac:dyDescent="0.2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spans="1:26" ht="15.75" customHeight="1" x14ac:dyDescent="0.2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spans="1:26" ht="15.75" customHeight="1" x14ac:dyDescent="0.2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spans="1:26" ht="15.75" customHeight="1" x14ac:dyDescent="0.2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spans="1:26" ht="15.75" customHeight="1" x14ac:dyDescent="0.2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spans="1:26" ht="15.75" customHeight="1" x14ac:dyDescent="0.2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spans="1:26" ht="15.75" customHeight="1" x14ac:dyDescent="0.2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spans="1:26" ht="15.75" customHeight="1" x14ac:dyDescent="0.2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spans="1:26" ht="15.75" customHeight="1" x14ac:dyDescent="0.2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spans="1:26" ht="15.75" customHeight="1" x14ac:dyDescent="0.2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spans="1:26" ht="15.75" customHeight="1" x14ac:dyDescent="0.2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spans="1:26" ht="15.75" customHeight="1" x14ac:dyDescent="0.2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spans="1:26" ht="15.75" customHeight="1" x14ac:dyDescent="0.2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spans="1:26" ht="15.75" customHeight="1" x14ac:dyDescent="0.2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spans="1:26" ht="15.75" customHeight="1" x14ac:dyDescent="0.2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spans="1:26" ht="15.75" customHeight="1" x14ac:dyDescent="0.2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spans="1:26" ht="15.75" customHeight="1" x14ac:dyDescent="0.2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spans="1:26" ht="15.75" customHeight="1" x14ac:dyDescent="0.2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spans="1:26" ht="15.75" customHeight="1" x14ac:dyDescent="0.2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spans="1:26" ht="15.75" customHeight="1" x14ac:dyDescent="0.2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spans="1:26" ht="15.75" customHeight="1" x14ac:dyDescent="0.2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spans="1:26" ht="15.75" customHeight="1" x14ac:dyDescent="0.2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spans="1:26" ht="15.75" customHeight="1" x14ac:dyDescent="0.2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spans="1:26" ht="15.75" customHeight="1" x14ac:dyDescent="0.2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spans="1:26" ht="15.75" customHeight="1" x14ac:dyDescent="0.2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spans="1:26" ht="15.75" customHeight="1" x14ac:dyDescent="0.2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spans="1:26" ht="15.75" customHeight="1" x14ac:dyDescent="0.2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spans="1:26" ht="15.75" customHeight="1" x14ac:dyDescent="0.2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spans="1:26" ht="15.75" customHeight="1" x14ac:dyDescent="0.2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spans="1:26" ht="15.75" customHeight="1" x14ac:dyDescent="0.2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spans="1:26" ht="15.75" customHeight="1" x14ac:dyDescent="0.2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spans="1:26" ht="15.75" customHeight="1" x14ac:dyDescent="0.2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spans="1:26" ht="15.75" customHeight="1" x14ac:dyDescent="0.2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spans="1:26" ht="15.75" customHeight="1" x14ac:dyDescent="0.2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spans="1:26" ht="15.75" customHeight="1" x14ac:dyDescent="0.2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spans="1:26" ht="15.75" customHeight="1" x14ac:dyDescent="0.2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spans="1:26" ht="15.75" customHeight="1" x14ac:dyDescent="0.2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spans="1:26" ht="15.75" customHeight="1" x14ac:dyDescent="0.2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spans="1:26" ht="15.75" customHeight="1" x14ac:dyDescent="0.2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spans="1:26" ht="15.75" customHeight="1" x14ac:dyDescent="0.2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spans="1:26" ht="15.75" customHeight="1" x14ac:dyDescent="0.2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spans="1:26" ht="15.75" customHeight="1" x14ac:dyDescent="0.2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spans="1:26" ht="15.75" customHeight="1" x14ac:dyDescent="0.2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spans="1:26" ht="15.75" customHeight="1" x14ac:dyDescent="0.2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spans="1:26" ht="15.75" customHeight="1" x14ac:dyDescent="0.2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spans="1:26" ht="15.75" customHeight="1" x14ac:dyDescent="0.2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spans="1:26" ht="15.75" customHeight="1" x14ac:dyDescent="0.2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spans="1:26" ht="15.75" customHeight="1" x14ac:dyDescent="0.2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spans="1:26" ht="15.75" customHeight="1" x14ac:dyDescent="0.2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spans="1:26" ht="15.75" customHeight="1" x14ac:dyDescent="0.2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spans="1:26" ht="15.75" customHeight="1" x14ac:dyDescent="0.2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spans="1:26" ht="15.75" customHeight="1" x14ac:dyDescent="0.2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spans="1:26" ht="15.75" customHeight="1" x14ac:dyDescent="0.2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spans="1:26" ht="15.75" customHeight="1" x14ac:dyDescent="0.2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spans="1:26" ht="15.75" customHeight="1" x14ac:dyDescent="0.2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spans="1:26" ht="15.75" customHeight="1" x14ac:dyDescent="0.2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spans="1:26" ht="15.75" customHeight="1" x14ac:dyDescent="0.2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spans="1:26" ht="15.75" customHeight="1" x14ac:dyDescent="0.2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spans="1:26" ht="15.75" customHeight="1" x14ac:dyDescent="0.2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spans="1:26" ht="15.75" customHeight="1" x14ac:dyDescent="0.2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spans="1:26" ht="15.75" customHeight="1" x14ac:dyDescent="0.2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spans="1:26" ht="15.75" customHeight="1" x14ac:dyDescent="0.2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spans="1:26" ht="15.75" customHeight="1" x14ac:dyDescent="0.2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spans="1:26" ht="15.75" customHeight="1" x14ac:dyDescent="0.2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spans="1:26" ht="15.75" customHeight="1" x14ac:dyDescent="0.2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spans="1:26" ht="15.75" customHeight="1" x14ac:dyDescent="0.2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spans="1:26" ht="15.75" customHeight="1" x14ac:dyDescent="0.2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spans="1:26" ht="15.75" customHeight="1" x14ac:dyDescent="0.2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spans="1:26" ht="15.75" customHeight="1" x14ac:dyDescent="0.2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spans="1:26" ht="15.75" customHeight="1" x14ac:dyDescent="0.2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spans="1:26" ht="15.75" customHeight="1" x14ac:dyDescent="0.2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spans="1:26" ht="15.75" customHeight="1" x14ac:dyDescent="0.2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spans="1:26" ht="15.75" customHeight="1" x14ac:dyDescent="0.2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spans="1:26" ht="15.75" customHeight="1" x14ac:dyDescent="0.2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spans="1:26" ht="15.75" customHeight="1" x14ac:dyDescent="0.2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spans="1:26" ht="15.75" customHeight="1" x14ac:dyDescent="0.2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spans="1:26" ht="15.75" customHeight="1" x14ac:dyDescent="0.2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spans="1:26" ht="15.75" customHeight="1" x14ac:dyDescent="0.2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spans="1:26" ht="15.75" customHeight="1" x14ac:dyDescent="0.2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spans="1:26" ht="15.75" customHeight="1" x14ac:dyDescent="0.2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spans="1:26" ht="15.75" customHeight="1" x14ac:dyDescent="0.2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spans="1:26" ht="15.75" customHeight="1" x14ac:dyDescent="0.2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spans="1:26" ht="15.75" customHeight="1" x14ac:dyDescent="0.2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spans="1:26" ht="15.75" customHeight="1" x14ac:dyDescent="0.2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spans="1:26" ht="15.75" customHeight="1" x14ac:dyDescent="0.2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spans="1:26" ht="15.75" customHeight="1" x14ac:dyDescent="0.2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spans="1:26" ht="15.75" customHeight="1" x14ac:dyDescent="0.2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spans="1:26" ht="15.75" customHeight="1" x14ac:dyDescent="0.2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spans="1:26" ht="15.75" customHeight="1" x14ac:dyDescent="0.2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spans="1:26" ht="15.75" customHeight="1" x14ac:dyDescent="0.2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spans="1:26" ht="15.75" customHeight="1" x14ac:dyDescent="0.2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spans="1:26" ht="15.75" customHeight="1" x14ac:dyDescent="0.2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spans="1:26" ht="15.75" customHeight="1" x14ac:dyDescent="0.2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spans="1:26" ht="15.75" customHeight="1" x14ac:dyDescent="0.2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spans="1:26" ht="15.75" customHeight="1" x14ac:dyDescent="0.2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spans="1:26" ht="15.75" customHeight="1" x14ac:dyDescent="0.2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spans="1:26" ht="15.75" customHeight="1" x14ac:dyDescent="0.2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spans="1:26" ht="15.75" customHeight="1" x14ac:dyDescent="0.2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spans="1:26" ht="15.75" customHeight="1" x14ac:dyDescent="0.2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spans="1:26" ht="15.75" customHeight="1" x14ac:dyDescent="0.2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spans="1:26" ht="15.75" customHeight="1" x14ac:dyDescent="0.2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spans="1:26" ht="15.75" customHeight="1" x14ac:dyDescent="0.2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spans="1:26" ht="15.75" customHeight="1" x14ac:dyDescent="0.2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spans="1:26" ht="15.75" customHeight="1" x14ac:dyDescent="0.2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spans="1:26" ht="15.75" customHeight="1" x14ac:dyDescent="0.2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spans="1:26" ht="15.75" customHeight="1" x14ac:dyDescent="0.2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spans="1:26" ht="15.75" customHeight="1" x14ac:dyDescent="0.2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spans="1:26" ht="15.75" customHeight="1" x14ac:dyDescent="0.2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spans="1:26" ht="15.75" customHeight="1" x14ac:dyDescent="0.2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spans="1:26" ht="15.75" customHeight="1" x14ac:dyDescent="0.2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spans="1:26" ht="15.75" customHeight="1" x14ac:dyDescent="0.2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spans="1:26" ht="15.75" customHeight="1" x14ac:dyDescent="0.2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spans="1:26" ht="15.75" customHeight="1" x14ac:dyDescent="0.2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spans="1:26" ht="15.75" customHeight="1" x14ac:dyDescent="0.2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spans="1:26" ht="15.75" customHeight="1" x14ac:dyDescent="0.2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spans="1:26" ht="15.75" customHeight="1" x14ac:dyDescent="0.2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spans="1:26" ht="15.75" customHeight="1" x14ac:dyDescent="0.2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spans="1:26" ht="15.75" customHeight="1" x14ac:dyDescent="0.2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spans="1:26" ht="15.75" customHeight="1" x14ac:dyDescent="0.2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spans="1:26" ht="15.75" customHeight="1" x14ac:dyDescent="0.2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spans="1:26" ht="15.75" customHeight="1" x14ac:dyDescent="0.2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spans="1:26" ht="15.75" customHeight="1" x14ac:dyDescent="0.2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spans="1:26" ht="15.75" customHeight="1" x14ac:dyDescent="0.2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spans="1:26" ht="15.75" customHeight="1" x14ac:dyDescent="0.2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spans="1:26" ht="15.75" customHeight="1" x14ac:dyDescent="0.2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spans="1:26" ht="15.75" customHeight="1" x14ac:dyDescent="0.2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spans="1:26" ht="15.75" customHeight="1" x14ac:dyDescent="0.2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spans="1:26" ht="15.75" customHeight="1" x14ac:dyDescent="0.2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spans="1:26" ht="15.75" customHeight="1" x14ac:dyDescent="0.2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spans="1:26" ht="15.75" customHeight="1" x14ac:dyDescent="0.2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spans="1:26" ht="15.75" customHeight="1" x14ac:dyDescent="0.2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spans="1:26" ht="15.75" customHeight="1" x14ac:dyDescent="0.2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spans="1:26" ht="15.75" customHeight="1" x14ac:dyDescent="0.2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spans="1:26" ht="15.75" customHeight="1" x14ac:dyDescent="0.2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spans="1:26" ht="15.75" customHeight="1" x14ac:dyDescent="0.2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spans="1:26" ht="15.75" customHeight="1" x14ac:dyDescent="0.2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spans="1:26" ht="15.75" customHeight="1" x14ac:dyDescent="0.2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spans="1:26" ht="15.75" customHeight="1" x14ac:dyDescent="0.2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spans="1:26" ht="15.75" customHeight="1" x14ac:dyDescent="0.2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spans="1:26" ht="15.75" customHeight="1" x14ac:dyDescent="0.2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spans="1:26" ht="15.75" customHeight="1" x14ac:dyDescent="0.2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spans="1:26" ht="15.75" customHeight="1" x14ac:dyDescent="0.2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spans="1:26" ht="15.75" customHeight="1" x14ac:dyDescent="0.2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spans="1:26" ht="15.75" customHeight="1" x14ac:dyDescent="0.2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spans="1:26" ht="15.75" customHeight="1" x14ac:dyDescent="0.2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spans="1:26" ht="15.75" customHeight="1" x14ac:dyDescent="0.2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spans="1:26" ht="15.75" customHeight="1" x14ac:dyDescent="0.2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spans="1:26" ht="15.75" customHeight="1" x14ac:dyDescent="0.2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spans="1:26" ht="15.75" customHeight="1" x14ac:dyDescent="0.2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spans="1:26" ht="15.75" customHeight="1" x14ac:dyDescent="0.2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spans="1:26" ht="15.75" customHeight="1" x14ac:dyDescent="0.2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spans="1:26" ht="15.75" customHeight="1" x14ac:dyDescent="0.2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spans="1:26" ht="15.75" customHeight="1" x14ac:dyDescent="0.2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spans="1:26" ht="15.75" customHeight="1" x14ac:dyDescent="0.2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spans="1:26" ht="15.75" customHeight="1" x14ac:dyDescent="0.2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spans="1:26" ht="15.75" customHeight="1" x14ac:dyDescent="0.2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spans="1:26" ht="15.75" customHeight="1" x14ac:dyDescent="0.2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spans="1:26" ht="15.75" customHeight="1" x14ac:dyDescent="0.2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spans="1:26" ht="15.75" customHeight="1" x14ac:dyDescent="0.2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spans="1:26" ht="15.75" customHeight="1" x14ac:dyDescent="0.2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spans="1:26" ht="15.75" customHeight="1" x14ac:dyDescent="0.2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spans="1:26" ht="15.75" customHeight="1" x14ac:dyDescent="0.2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spans="1:26" ht="15.75" customHeight="1" x14ac:dyDescent="0.2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spans="1:26" ht="15.75" customHeight="1" x14ac:dyDescent="0.2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spans="1:26" ht="15.75" customHeight="1" x14ac:dyDescent="0.2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spans="1:26" ht="15.75" customHeight="1" x14ac:dyDescent="0.2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spans="1:26" ht="15.75" customHeight="1" x14ac:dyDescent="0.2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spans="1:26" ht="15.75" customHeight="1" x14ac:dyDescent="0.2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spans="1:26" ht="15.75" customHeight="1" x14ac:dyDescent="0.2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spans="1:26" ht="15.75" customHeight="1" x14ac:dyDescent="0.2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spans="1:26" ht="15.75" customHeight="1" x14ac:dyDescent="0.2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spans="1:26" ht="15.75" customHeight="1" x14ac:dyDescent="0.2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spans="1:26" ht="15.75" customHeight="1" x14ac:dyDescent="0.2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spans="1:26" ht="15.75" customHeight="1" x14ac:dyDescent="0.2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spans="1:26" ht="15.75" customHeight="1" x14ac:dyDescent="0.2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spans="1:26" ht="15.75" customHeight="1" x14ac:dyDescent="0.2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spans="1:26" ht="15.75" customHeight="1" x14ac:dyDescent="0.2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spans="1:26" ht="15.75" customHeight="1" x14ac:dyDescent="0.2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spans="1:26" ht="15.75" customHeight="1" x14ac:dyDescent="0.2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spans="1:26" ht="15.75" customHeight="1" x14ac:dyDescent="0.2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spans="1:26" ht="15.75" customHeight="1" x14ac:dyDescent="0.2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spans="1:26" ht="15.75" customHeight="1" x14ac:dyDescent="0.2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spans="1:26" ht="15.75" customHeight="1" x14ac:dyDescent="0.2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spans="1:26" ht="15.75" customHeight="1" x14ac:dyDescent="0.2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spans="1:26" ht="15.75" customHeight="1" x14ac:dyDescent="0.2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spans="1:26" ht="15.75" customHeight="1" x14ac:dyDescent="0.2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spans="1:26" ht="15.75" customHeight="1" x14ac:dyDescent="0.2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spans="1:26" ht="15.75" customHeight="1" x14ac:dyDescent="0.2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spans="1:26" ht="15.75" customHeight="1" x14ac:dyDescent="0.2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spans="1:26" ht="15.75" customHeight="1" x14ac:dyDescent="0.2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spans="1:26" ht="15.75" customHeight="1" x14ac:dyDescent="0.2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spans="1:26" ht="15.75" customHeight="1" x14ac:dyDescent="0.2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spans="1:26" ht="15.75" customHeight="1" x14ac:dyDescent="0.2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spans="1:26" ht="15.75" customHeight="1" x14ac:dyDescent="0.2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spans="1:26" ht="15.75" customHeight="1" x14ac:dyDescent="0.2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spans="1:26" ht="15.75" customHeight="1" x14ac:dyDescent="0.2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spans="1:26" ht="15.75" customHeight="1" x14ac:dyDescent="0.2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spans="1:26" ht="15.75" customHeight="1" x14ac:dyDescent="0.2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spans="1:26" ht="15.75" customHeight="1" x14ac:dyDescent="0.2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spans="1:26" ht="15.75" customHeight="1" x14ac:dyDescent="0.2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spans="1:26" ht="15.75" customHeight="1" x14ac:dyDescent="0.2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spans="1:26" ht="15.75" customHeight="1" x14ac:dyDescent="0.2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spans="1:26" ht="15.75" customHeight="1" x14ac:dyDescent="0.2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spans="1:26" ht="15.75" customHeight="1" x14ac:dyDescent="0.2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spans="1:26" ht="15.75" customHeight="1" x14ac:dyDescent="0.2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spans="1:26" ht="15.75" customHeight="1" x14ac:dyDescent="0.2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spans="1:26" ht="15.75" customHeight="1" x14ac:dyDescent="0.2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spans="1:26" ht="15.75" customHeight="1" x14ac:dyDescent="0.2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spans="1:26" ht="15.75" customHeight="1" x14ac:dyDescent="0.2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spans="1:26" ht="15.75" customHeight="1" x14ac:dyDescent="0.2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spans="1:26" ht="15.75" customHeight="1" x14ac:dyDescent="0.2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spans="1:26" ht="15.75" customHeight="1" x14ac:dyDescent="0.2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spans="1:26" ht="15.75" customHeight="1" x14ac:dyDescent="0.2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spans="1:26" ht="15.75" customHeight="1" x14ac:dyDescent="0.2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spans="1:26" ht="15.75" customHeight="1" x14ac:dyDescent="0.2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spans="1:26" ht="15.75" customHeight="1" x14ac:dyDescent="0.2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spans="1:26" ht="15.75" customHeight="1" x14ac:dyDescent="0.2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spans="1:26" ht="15.75" customHeight="1" x14ac:dyDescent="0.2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spans="1:26" ht="15.75" customHeight="1" x14ac:dyDescent="0.2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spans="1:26" ht="15.75" customHeight="1" x14ac:dyDescent="0.2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spans="1:26" ht="15.75" customHeight="1" x14ac:dyDescent="0.2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spans="1:26" ht="15.75" customHeight="1" x14ac:dyDescent="0.2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spans="1:26" ht="15.75" customHeight="1" x14ac:dyDescent="0.2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spans="1:26" ht="15.75" customHeight="1" x14ac:dyDescent="0.2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spans="1:26" ht="15.75" customHeight="1" x14ac:dyDescent="0.2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spans="1:26" ht="15.75" customHeight="1" x14ac:dyDescent="0.2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spans="1:26" ht="15.75" customHeight="1" x14ac:dyDescent="0.2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spans="1:26" ht="15.75" customHeight="1" x14ac:dyDescent="0.2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spans="1:26" ht="15.75" customHeight="1" x14ac:dyDescent="0.2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spans="1:26" ht="15.75" customHeight="1" x14ac:dyDescent="0.2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spans="1:26" ht="15.75" customHeight="1" x14ac:dyDescent="0.2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spans="1:26" ht="15.75" customHeight="1" x14ac:dyDescent="0.2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spans="1:26" ht="15.75" customHeight="1" x14ac:dyDescent="0.2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spans="1:26" ht="15.75" customHeight="1" x14ac:dyDescent="0.2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spans="1:26" ht="15.75" customHeight="1" x14ac:dyDescent="0.2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spans="1:26" ht="15.75" customHeight="1" x14ac:dyDescent="0.2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spans="1:26" ht="15.75" customHeight="1" x14ac:dyDescent="0.2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spans="1:26" ht="15.75" customHeight="1" x14ac:dyDescent="0.2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spans="1:26" ht="15.75" customHeight="1" x14ac:dyDescent="0.2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spans="1:26" ht="15.75" customHeight="1" x14ac:dyDescent="0.2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spans="1:26" ht="15.75" customHeight="1" x14ac:dyDescent="0.2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spans="1:26" ht="15.75" customHeight="1" x14ac:dyDescent="0.2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spans="1:26" ht="15.75" customHeight="1" x14ac:dyDescent="0.2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spans="1:26" ht="15.75" customHeight="1" x14ac:dyDescent="0.2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spans="1:26" ht="15.75" customHeight="1" x14ac:dyDescent="0.2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spans="1:26" ht="15.75" customHeight="1" x14ac:dyDescent="0.2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spans="1:26" ht="15.75" customHeight="1" x14ac:dyDescent="0.2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spans="1:26" ht="15.75" customHeight="1" x14ac:dyDescent="0.2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spans="1:26" ht="15.75" customHeight="1" x14ac:dyDescent="0.2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spans="1:26" ht="15.75" customHeight="1" x14ac:dyDescent="0.2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spans="1:26" ht="15.75" customHeight="1" x14ac:dyDescent="0.2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spans="1:26" ht="15.75" customHeight="1" x14ac:dyDescent="0.2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spans="1:26" ht="15.75" customHeight="1" x14ac:dyDescent="0.2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spans="1:26" ht="15.75" customHeight="1" x14ac:dyDescent="0.2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spans="1:26" ht="15.75" customHeight="1" x14ac:dyDescent="0.2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spans="1:26" ht="15.75" customHeight="1" x14ac:dyDescent="0.2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spans="1:26" ht="15.75" customHeight="1" x14ac:dyDescent="0.2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spans="1:26" ht="15.75" customHeight="1" x14ac:dyDescent="0.2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spans="1:26" ht="15.75" customHeight="1" x14ac:dyDescent="0.2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spans="1:26" ht="15.75" customHeight="1" x14ac:dyDescent="0.2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spans="1:26" ht="15.75" customHeight="1" x14ac:dyDescent="0.2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spans="1:26" ht="15.75" customHeight="1" x14ac:dyDescent="0.2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spans="1:26" ht="15.75" customHeight="1" x14ac:dyDescent="0.2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spans="1:26" ht="15.75" customHeight="1" x14ac:dyDescent="0.2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spans="1:26" ht="15.75" customHeight="1" x14ac:dyDescent="0.2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spans="1:26" ht="15.75" customHeight="1" x14ac:dyDescent="0.2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spans="1:26" ht="15.75" customHeight="1" x14ac:dyDescent="0.2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spans="1:26" ht="15.75" customHeight="1" x14ac:dyDescent="0.2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spans="1:26" ht="15.75" customHeight="1" x14ac:dyDescent="0.2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spans="1:26" ht="15.75" customHeight="1" x14ac:dyDescent="0.2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spans="1:26" ht="15.75" customHeight="1" x14ac:dyDescent="0.2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spans="1:26" ht="15.75" customHeight="1" x14ac:dyDescent="0.2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spans="1:26" ht="15.75" customHeight="1" x14ac:dyDescent="0.2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spans="1:26" ht="15.75" customHeight="1" x14ac:dyDescent="0.2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spans="1:26" ht="15.75" customHeight="1" x14ac:dyDescent="0.2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spans="1:26" ht="15.75" customHeight="1" x14ac:dyDescent="0.2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spans="1:26" ht="15.75" customHeight="1" x14ac:dyDescent="0.2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spans="1:26" ht="15.75" customHeight="1" x14ac:dyDescent="0.2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spans="1:26" ht="15.75" customHeight="1" x14ac:dyDescent="0.2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spans="1:26" ht="15.75" customHeight="1" x14ac:dyDescent="0.2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spans="1:26" ht="15.75" customHeight="1" x14ac:dyDescent="0.2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spans="1:26" ht="15.75" customHeight="1" x14ac:dyDescent="0.2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spans="1:26" ht="15.75" customHeight="1" x14ac:dyDescent="0.2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spans="1:26" ht="15.75" customHeight="1" x14ac:dyDescent="0.2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spans="1:26" ht="15.75" customHeight="1" x14ac:dyDescent="0.2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spans="1:26" ht="15.75" customHeight="1" x14ac:dyDescent="0.2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spans="1:26" ht="15.75" customHeight="1" x14ac:dyDescent="0.2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spans="1:26" ht="15.75" customHeight="1" x14ac:dyDescent="0.2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spans="1:26" ht="15.75" customHeight="1" x14ac:dyDescent="0.2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spans="1:26" ht="15.75" customHeight="1" x14ac:dyDescent="0.2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spans="1:26" ht="15.75" customHeight="1" x14ac:dyDescent="0.2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spans="1:26" ht="15.75" customHeight="1" x14ac:dyDescent="0.2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spans="1:26" ht="15.75" customHeight="1" x14ac:dyDescent="0.2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spans="1:26" ht="15.75" customHeight="1" x14ac:dyDescent="0.2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spans="1:26" ht="15.75" customHeight="1" x14ac:dyDescent="0.2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spans="1:26" ht="15.75" customHeight="1" x14ac:dyDescent="0.2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spans="1:26" ht="15.75" customHeight="1" x14ac:dyDescent="0.2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spans="1:26" ht="15.75" customHeight="1" x14ac:dyDescent="0.2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spans="1:26" ht="15.75" customHeight="1" x14ac:dyDescent="0.2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spans="1:26" ht="15.75" customHeight="1" x14ac:dyDescent="0.2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spans="1:26" ht="15.75" customHeight="1" x14ac:dyDescent="0.2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spans="1:26" ht="15.75" customHeight="1" x14ac:dyDescent="0.2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spans="1:26" ht="15.75" customHeight="1" x14ac:dyDescent="0.2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spans="1:26" ht="15.75" customHeight="1" x14ac:dyDescent="0.2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spans="1:26" ht="15.75" customHeight="1" x14ac:dyDescent="0.2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spans="1:26" ht="15.75" customHeight="1" x14ac:dyDescent="0.2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spans="1:26" ht="15.75" customHeight="1" x14ac:dyDescent="0.2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spans="1:26" ht="15.75" customHeight="1" x14ac:dyDescent="0.2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spans="1:26" ht="15.75" customHeight="1" x14ac:dyDescent="0.2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spans="1:26" ht="15.75" customHeight="1" x14ac:dyDescent="0.2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spans="1:26" ht="15.75" customHeight="1" x14ac:dyDescent="0.2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spans="1:26" ht="15.75" customHeight="1" x14ac:dyDescent="0.2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spans="1:26" ht="15.75" customHeight="1" x14ac:dyDescent="0.2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spans="1:26" ht="15.75" customHeight="1" x14ac:dyDescent="0.2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spans="1:26" ht="15.75" customHeight="1" x14ac:dyDescent="0.2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spans="1:26" ht="15.75" customHeight="1" x14ac:dyDescent="0.2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spans="1:26" ht="15.75" customHeight="1" x14ac:dyDescent="0.2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spans="1:26" ht="15.75" customHeight="1" x14ac:dyDescent="0.2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spans="1:26" ht="15.75" customHeight="1" x14ac:dyDescent="0.2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spans="1:26" ht="15.75" customHeight="1" x14ac:dyDescent="0.2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spans="1:26" ht="15.75" customHeight="1" x14ac:dyDescent="0.2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spans="1:26" ht="15.75" customHeight="1" x14ac:dyDescent="0.2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spans="1:26" ht="15.75" customHeight="1" x14ac:dyDescent="0.2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spans="1:26" ht="15.75" customHeight="1" x14ac:dyDescent="0.2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spans="1:26" ht="15.75" customHeight="1" x14ac:dyDescent="0.2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spans="1:26" ht="15.75" customHeight="1" x14ac:dyDescent="0.2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spans="1:26" ht="15.75" customHeight="1" x14ac:dyDescent="0.2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spans="1:26" ht="15.75" customHeight="1" x14ac:dyDescent="0.2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spans="1:26" ht="15.75" customHeight="1" x14ac:dyDescent="0.2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spans="1:26" ht="15.75" customHeight="1" x14ac:dyDescent="0.2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spans="1:26" ht="15.75" customHeight="1" x14ac:dyDescent="0.2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spans="1:26" ht="15.75" customHeight="1" x14ac:dyDescent="0.2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spans="1:26" ht="15.75" customHeight="1" x14ac:dyDescent="0.2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spans="1:26" ht="15.75" customHeight="1" x14ac:dyDescent="0.2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spans="1:26" ht="15.75" customHeight="1" x14ac:dyDescent="0.2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spans="1:26" ht="15.75" customHeight="1" x14ac:dyDescent="0.2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spans="1:26" ht="15.75" customHeight="1" x14ac:dyDescent="0.2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spans="1:26" ht="15.75" customHeight="1" x14ac:dyDescent="0.2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spans="1:26" ht="15.75" customHeight="1" x14ac:dyDescent="0.2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spans="1:26" ht="15.75" customHeight="1" x14ac:dyDescent="0.2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spans="1:26" ht="15.75" customHeight="1" x14ac:dyDescent="0.2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spans="1:26" ht="15.75" customHeight="1" x14ac:dyDescent="0.2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spans="1:26" ht="15.75" customHeight="1" x14ac:dyDescent="0.2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spans="1:26" ht="15.75" customHeight="1" x14ac:dyDescent="0.2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spans="1:26" ht="15.75" customHeight="1" x14ac:dyDescent="0.2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spans="1:26" ht="15.75" customHeight="1" x14ac:dyDescent="0.2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spans="1:26" ht="15.75" customHeight="1" x14ac:dyDescent="0.2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spans="1:26" ht="15.75" customHeight="1" x14ac:dyDescent="0.2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spans="1:26" ht="15.75" customHeight="1" x14ac:dyDescent="0.2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spans="1:26" ht="15.75" customHeight="1" x14ac:dyDescent="0.2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spans="1:26" ht="15.75" customHeight="1" x14ac:dyDescent="0.2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spans="1:26" ht="15.75" customHeight="1" x14ac:dyDescent="0.2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spans="1:26" ht="15.75" customHeight="1" x14ac:dyDescent="0.2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spans="1:26" ht="15.75" customHeight="1" x14ac:dyDescent="0.2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spans="1:26" ht="15.75" customHeight="1" x14ac:dyDescent="0.2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spans="1:26" ht="15.75" customHeight="1" x14ac:dyDescent="0.2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spans="1:26" ht="15.75" customHeight="1" x14ac:dyDescent="0.2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spans="1:26" ht="15.75" customHeight="1" x14ac:dyDescent="0.2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spans="1:26" ht="15.75" customHeight="1" x14ac:dyDescent="0.2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spans="1:26" ht="15.75" customHeight="1" x14ac:dyDescent="0.2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spans="1:26" ht="15.75" customHeight="1" x14ac:dyDescent="0.2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spans="1:26" ht="15.75" customHeight="1" x14ac:dyDescent="0.2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spans="1:26" ht="15.75" customHeight="1" x14ac:dyDescent="0.2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spans="1:26" ht="15.75" customHeight="1" x14ac:dyDescent="0.2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spans="1:26" ht="15.75" customHeight="1" x14ac:dyDescent="0.2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spans="1:26" ht="15.75" customHeight="1" x14ac:dyDescent="0.2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spans="1:26" ht="15.75" customHeight="1" x14ac:dyDescent="0.2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spans="1:26" ht="15.75" customHeight="1" x14ac:dyDescent="0.2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spans="1:26" ht="15.75" customHeight="1" x14ac:dyDescent="0.2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spans="1:26" ht="15.75" customHeight="1" x14ac:dyDescent="0.2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spans="1:26" ht="15.75" customHeight="1" x14ac:dyDescent="0.2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spans="1:26" ht="15.75" customHeight="1" x14ac:dyDescent="0.2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spans="1:26" ht="15.75" customHeight="1" x14ac:dyDescent="0.2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spans="1:26" ht="15.75" customHeight="1" x14ac:dyDescent="0.2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spans="1:26" ht="15.75" customHeight="1" x14ac:dyDescent="0.2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spans="1:26" ht="15.75" customHeight="1" x14ac:dyDescent="0.2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spans="1:26" ht="15.75" customHeight="1" x14ac:dyDescent="0.2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spans="1:26" ht="15.75" customHeight="1" x14ac:dyDescent="0.2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spans="1:26" ht="15.75" customHeight="1" x14ac:dyDescent="0.2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spans="1:26" ht="15.75" customHeight="1" x14ac:dyDescent="0.2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spans="1:26" ht="15.75" customHeight="1" x14ac:dyDescent="0.2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spans="1:26" ht="15.75" customHeight="1" x14ac:dyDescent="0.2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spans="1:26" ht="15.75" customHeight="1" x14ac:dyDescent="0.2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spans="1:26" ht="15.75" customHeight="1" x14ac:dyDescent="0.2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spans="1:26" ht="15.75" customHeight="1" x14ac:dyDescent="0.2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spans="1:26" ht="15.75" customHeight="1" x14ac:dyDescent="0.2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spans="1:26" ht="15.75" customHeight="1" x14ac:dyDescent="0.2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spans="1:26" ht="15.75" customHeight="1" x14ac:dyDescent="0.2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spans="1:26" ht="15.75" customHeight="1" x14ac:dyDescent="0.2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spans="1:26" ht="15.75" customHeight="1" x14ac:dyDescent="0.2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spans="1:26" ht="15.75" customHeight="1" x14ac:dyDescent="0.2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spans="1:26" ht="15.75" customHeight="1" x14ac:dyDescent="0.2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spans="1:26" ht="15.75" customHeight="1" x14ac:dyDescent="0.2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spans="1:26" ht="15.75" customHeight="1" x14ac:dyDescent="0.2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spans="1:26" ht="15.75" customHeight="1" x14ac:dyDescent="0.2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spans="1:26" ht="15.75" customHeight="1" x14ac:dyDescent="0.2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spans="1:26" ht="15.75" customHeight="1" x14ac:dyDescent="0.2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spans="1:26" ht="15.75" customHeight="1" x14ac:dyDescent="0.2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spans="1:26" ht="15.75" customHeight="1" x14ac:dyDescent="0.2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spans="1:26" ht="15.75" customHeight="1" x14ac:dyDescent="0.2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spans="1:26" ht="15.75" customHeight="1" x14ac:dyDescent="0.2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spans="1:26" ht="15.75" customHeight="1" x14ac:dyDescent="0.2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spans="1:26" ht="15.75" customHeight="1" x14ac:dyDescent="0.2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spans="1:26" ht="15.75" customHeight="1" x14ac:dyDescent="0.2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spans="1:26" ht="15.75" customHeight="1" x14ac:dyDescent="0.2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spans="1:26" ht="15.75" customHeight="1" x14ac:dyDescent="0.2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spans="1:26" ht="15.75" customHeight="1" x14ac:dyDescent="0.2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spans="1:26" ht="15.75" customHeight="1" x14ac:dyDescent="0.2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spans="1:26" ht="15.75" customHeight="1" x14ac:dyDescent="0.2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spans="1:26" ht="15.75" customHeight="1" x14ac:dyDescent="0.2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spans="1:26" ht="15.75" customHeight="1" x14ac:dyDescent="0.2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spans="1:26" ht="15.75" customHeight="1" x14ac:dyDescent="0.2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spans="1:26" ht="15.75" customHeight="1" x14ac:dyDescent="0.2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spans="1:26" ht="15.75" customHeight="1" x14ac:dyDescent="0.2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spans="1:26" ht="15.75" customHeight="1" x14ac:dyDescent="0.2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spans="1:26" ht="15.75" customHeight="1" x14ac:dyDescent="0.2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spans="1:26" ht="15.75" customHeight="1" x14ac:dyDescent="0.2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spans="1:26" ht="15.75" customHeight="1" x14ac:dyDescent="0.2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spans="1:26" ht="15.75" customHeight="1" x14ac:dyDescent="0.2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spans="1:26" ht="15.75" customHeight="1" x14ac:dyDescent="0.2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spans="1:26" ht="15.75" customHeight="1" x14ac:dyDescent="0.2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spans="1:26" ht="15.75" customHeight="1" x14ac:dyDescent="0.2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spans="1:26" ht="15.75" customHeight="1" x14ac:dyDescent="0.2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spans="1:26" ht="15.75" customHeight="1" x14ac:dyDescent="0.2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spans="1:26" ht="15.75" customHeight="1" x14ac:dyDescent="0.2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spans="1:26" ht="15.75" customHeight="1" x14ac:dyDescent="0.2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spans="1:26" ht="15.75" customHeight="1" x14ac:dyDescent="0.2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spans="1:26" ht="15.75" customHeight="1" x14ac:dyDescent="0.2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spans="1:26" ht="15.75" customHeight="1" x14ac:dyDescent="0.2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spans="1:26" ht="15.75" customHeight="1" x14ac:dyDescent="0.2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spans="1:26" ht="15.75" customHeight="1" x14ac:dyDescent="0.2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spans="1:26" ht="15.75" customHeight="1" x14ac:dyDescent="0.2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spans="1:26" ht="15.75" customHeight="1" x14ac:dyDescent="0.2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spans="1:26" ht="15.75" customHeight="1" x14ac:dyDescent="0.2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spans="1:26" ht="15.75" customHeight="1" x14ac:dyDescent="0.2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spans="1:26" ht="15.75" customHeight="1" x14ac:dyDescent="0.2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spans="1:26" ht="15.75" customHeight="1" x14ac:dyDescent="0.2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spans="1:26" ht="15.75" customHeight="1" x14ac:dyDescent="0.2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spans="1:26" ht="15.75" customHeight="1" x14ac:dyDescent="0.2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spans="1:26" ht="15.75" customHeight="1" x14ac:dyDescent="0.2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spans="1:26" ht="15.75" customHeight="1" x14ac:dyDescent="0.2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spans="1:26" ht="15.75" customHeight="1" x14ac:dyDescent="0.2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spans="1:26" ht="15.75" customHeight="1" x14ac:dyDescent="0.2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spans="1:26" ht="15.75" customHeight="1" x14ac:dyDescent="0.2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spans="1:26" ht="15.75" customHeight="1" x14ac:dyDescent="0.2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spans="1:26" ht="15.75" customHeight="1" x14ac:dyDescent="0.2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spans="1:26" ht="15.75" customHeight="1" x14ac:dyDescent="0.2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spans="1:26" ht="15.75" customHeight="1" x14ac:dyDescent="0.2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spans="1:26" ht="15.75" customHeight="1" x14ac:dyDescent="0.2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spans="1:26" ht="15.75" customHeight="1" x14ac:dyDescent="0.2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spans="1:26" ht="15.75" customHeight="1" x14ac:dyDescent="0.2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spans="1:26" ht="15.75" customHeight="1" x14ac:dyDescent="0.2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spans="1:26" ht="15.75" customHeight="1" x14ac:dyDescent="0.2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spans="1:26" ht="15.75" customHeight="1" x14ac:dyDescent="0.2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spans="1:26" ht="15.75" customHeight="1" x14ac:dyDescent="0.2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spans="1:26" ht="15.75" customHeight="1" x14ac:dyDescent="0.2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spans="1:26" ht="15.75" customHeight="1" x14ac:dyDescent="0.2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spans="1:26" ht="15.75" customHeight="1" x14ac:dyDescent="0.2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spans="1:26" ht="15.75" customHeight="1" x14ac:dyDescent="0.2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spans="1:26" ht="15.75" customHeight="1" x14ac:dyDescent="0.2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spans="1:26" ht="15.75" customHeight="1" x14ac:dyDescent="0.2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spans="1:26" ht="15.75" customHeight="1" x14ac:dyDescent="0.2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spans="1:26" ht="15.75" customHeight="1" x14ac:dyDescent="0.2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spans="1:26" ht="15.75" customHeight="1" x14ac:dyDescent="0.2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spans="1:26" ht="15.75" customHeight="1" x14ac:dyDescent="0.2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spans="1:26" ht="15.75" customHeight="1" x14ac:dyDescent="0.2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spans="1:26" ht="15.75" customHeight="1" x14ac:dyDescent="0.2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spans="1:26" ht="15.75" customHeight="1" x14ac:dyDescent="0.2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spans="1:26" ht="15.75" customHeight="1" x14ac:dyDescent="0.2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spans="1:26" ht="15.75" customHeight="1" x14ac:dyDescent="0.2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spans="1:26" ht="15.75" customHeight="1" x14ac:dyDescent="0.2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spans="1:26" ht="15.75" customHeight="1" x14ac:dyDescent="0.2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spans="1:26" ht="15.75" customHeight="1" x14ac:dyDescent="0.2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spans="1:26" ht="15.75" customHeight="1" x14ac:dyDescent="0.2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spans="1:26" ht="15.75" customHeight="1" x14ac:dyDescent="0.2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spans="1:26" ht="15.75" customHeight="1" x14ac:dyDescent="0.2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spans="1:26" ht="15.75" customHeight="1" x14ac:dyDescent="0.2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spans="1:26" ht="15.75" customHeight="1" x14ac:dyDescent="0.2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spans="1:26" ht="15.75" customHeight="1" x14ac:dyDescent="0.2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spans="1:26" ht="15.75" customHeight="1" x14ac:dyDescent="0.2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spans="1:26" ht="15.75" customHeight="1" x14ac:dyDescent="0.2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spans="1:26" ht="15.75" customHeight="1" x14ac:dyDescent="0.2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spans="1:26" ht="15.75" customHeight="1" x14ac:dyDescent="0.2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spans="1:26" ht="15.75" customHeight="1" x14ac:dyDescent="0.2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spans="1:26" ht="15.75" customHeight="1" x14ac:dyDescent="0.2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spans="1:26" ht="15.75" customHeight="1" x14ac:dyDescent="0.2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spans="1:26" ht="15.75" customHeight="1" x14ac:dyDescent="0.2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spans="1:26" ht="15.75" customHeight="1" x14ac:dyDescent="0.2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spans="1:26" ht="15.75" customHeight="1" x14ac:dyDescent="0.2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spans="1:26" ht="15.75" customHeight="1" x14ac:dyDescent="0.2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spans="1:26" ht="15.75" customHeight="1" x14ac:dyDescent="0.2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spans="1:26" ht="15.75" customHeight="1" x14ac:dyDescent="0.2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spans="1:26" ht="15.75" customHeight="1" x14ac:dyDescent="0.2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spans="1:26" ht="15.75" customHeight="1" x14ac:dyDescent="0.2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spans="1:26" ht="15.75" customHeight="1" x14ac:dyDescent="0.2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spans="1:26" ht="15.75" customHeight="1" x14ac:dyDescent="0.2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spans="1:26" ht="15.75" customHeight="1" x14ac:dyDescent="0.2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spans="1:26" ht="15.75" customHeight="1" x14ac:dyDescent="0.2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spans="1:26" ht="15.75" customHeight="1" x14ac:dyDescent="0.2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spans="1:26" ht="15.75" customHeight="1" x14ac:dyDescent="0.2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spans="1:26" ht="15.75" customHeight="1" x14ac:dyDescent="0.2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spans="1:26" ht="15.75" customHeight="1" x14ac:dyDescent="0.2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spans="1:26" ht="15.75" customHeight="1" x14ac:dyDescent="0.2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spans="1:26" ht="15.75" customHeight="1" x14ac:dyDescent="0.2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spans="1:26" ht="15.75" customHeight="1" x14ac:dyDescent="0.2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</sheetData>
  <mergeCells count="1">
    <mergeCell ref="A34:E34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Maestro_Productos</vt:lpstr>
      <vt:lpstr>Costo items</vt:lpstr>
      <vt:lpstr>Costo_Base</vt:lpstr>
      <vt:lpstr>Equivalencias_Unidades</vt:lpstr>
      <vt:lpstr>Lista de Precios</vt:lpstr>
      <vt:lpstr>Recetas Bebidas</vt:lpstr>
      <vt:lpstr>Recetas Comida</vt:lpstr>
      <vt:lpstr>Costos FIJOS (OPEX)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ARANCIBIA, Matias Ezequiel</cp:lastModifiedBy>
  <cp:revision>0</cp:revision>
  <dcterms:created xsi:type="dcterms:W3CDTF">2026-07-09T11:16:19Z</dcterms:created>
  <dcterms:modified xsi:type="dcterms:W3CDTF">2026-07-13T18:29:23Z</dcterms:modified>
  <dc:language>en-US</dc:language>
</cp:coreProperties>
</file>